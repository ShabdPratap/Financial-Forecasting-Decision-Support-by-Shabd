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bd/Desktop/"/>
    </mc:Choice>
  </mc:AlternateContent>
  <xr:revisionPtr revIDLastSave="0" documentId="8_{CB6AC934-D52C-3A40-9135-7FF3EAD89112}" xr6:coauthVersionLast="47" xr6:coauthVersionMax="47" xr10:uidLastSave="{00000000-0000-0000-0000-000000000000}"/>
  <bookViews>
    <workbookView xWindow="0" yWindow="0" windowWidth="28800" windowHeight="18000" activeTab="4" xr2:uid="{694EBEF6-F704-5A4C-BABF-E087E6A676E4}"/>
  </bookViews>
  <sheets>
    <sheet name="Raw_Data" sheetId="1" r:id="rId1"/>
    <sheet name="Monthly_Pivot" sheetId="2" r:id="rId2"/>
    <sheet name="Financial_Data" sheetId="3" r:id="rId3"/>
    <sheet name="ARIMA_Model" sheetId="4" r:id="rId4"/>
    <sheet name="Scenario_Analysis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5" i="5"/>
  <c r="B4" i="5"/>
  <c r="J16" i="3"/>
  <c r="K5" i="3"/>
  <c r="K6" i="3"/>
  <c r="K7" i="3"/>
  <c r="K8" i="3"/>
  <c r="K9" i="3"/>
  <c r="K10" i="3"/>
  <c r="K11" i="3"/>
  <c r="K12" i="3"/>
  <c r="K13" i="3"/>
  <c r="K4" i="3"/>
  <c r="J8" i="3"/>
  <c r="J10" i="3"/>
  <c r="I10" i="3"/>
  <c r="H9" i="3"/>
  <c r="I9" i="3" s="1"/>
  <c r="J9" i="3" s="1"/>
  <c r="E7" i="3"/>
  <c r="F8" i="3" s="1"/>
  <c r="G8" i="3" s="1"/>
  <c r="H8" i="3" s="1"/>
  <c r="I8" i="3" s="1"/>
  <c r="F7" i="3"/>
  <c r="G7" i="3" s="1"/>
  <c r="H7" i="3" s="1"/>
  <c r="I7" i="3" s="1"/>
  <c r="J7" i="3" s="1"/>
  <c r="E3" i="3"/>
  <c r="F4" i="3" s="1"/>
  <c r="G4" i="3" s="1"/>
  <c r="H4" i="3" s="1"/>
  <c r="I4" i="3" s="1"/>
  <c r="J4" i="3" s="1"/>
  <c r="E4" i="3"/>
  <c r="F5" i="3" s="1"/>
  <c r="G5" i="3" s="1"/>
  <c r="H5" i="3" s="1"/>
  <c r="I5" i="3" s="1"/>
  <c r="J5" i="3" s="1"/>
  <c r="E5" i="3"/>
  <c r="F6" i="3" s="1"/>
  <c r="G6" i="3" s="1"/>
  <c r="H6" i="3" s="1"/>
  <c r="I6" i="3" s="1"/>
  <c r="J6" i="3" s="1"/>
  <c r="E6" i="3"/>
  <c r="E8" i="3"/>
  <c r="F9" i="3" s="1"/>
  <c r="G9" i="3" s="1"/>
  <c r="E9" i="3"/>
  <c r="F10" i="3" s="1"/>
  <c r="G10" i="3" s="1"/>
  <c r="H10" i="3" s="1"/>
  <c r="E10" i="3"/>
  <c r="F11" i="3" s="1"/>
  <c r="G11" i="3" s="1"/>
  <c r="H11" i="3" s="1"/>
  <c r="I11" i="3" s="1"/>
  <c r="J11" i="3" s="1"/>
  <c r="E11" i="3"/>
  <c r="F12" i="3" s="1"/>
  <c r="G12" i="3" s="1"/>
  <c r="H12" i="3" s="1"/>
  <c r="I12" i="3" s="1"/>
  <c r="J12" i="3" s="1"/>
  <c r="E12" i="3"/>
  <c r="F13" i="3" s="1"/>
  <c r="G13" i="3" s="1"/>
  <c r="H13" i="3" s="1"/>
  <c r="I13" i="3" s="1"/>
  <c r="J13" i="3" s="1"/>
  <c r="E13" i="3"/>
  <c r="E2" i="3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2" i="3"/>
  <c r="D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B6" i="5" l="1"/>
  <c r="B9" i="5"/>
  <c r="B18" i="5"/>
  <c r="B22" i="5" s="1"/>
  <c r="J15" i="3"/>
</calcChain>
</file>

<file path=xl/sharedStrings.xml><?xml version="1.0" encoding="utf-8"?>
<sst xmlns="http://schemas.openxmlformats.org/spreadsheetml/2006/main" count="2068" uniqueCount="71">
  <si>
    <t>Date</t>
  </si>
  <si>
    <t>Gender</t>
  </si>
  <si>
    <t>Age</t>
  </si>
  <si>
    <t>Product Category</t>
  </si>
  <si>
    <t>Quantity</t>
  </si>
  <si>
    <t>Price per Unit</t>
  </si>
  <si>
    <t>Total Amount</t>
  </si>
  <si>
    <t>Male</t>
  </si>
  <si>
    <t>Beauty</t>
  </si>
  <si>
    <t>Female</t>
  </si>
  <si>
    <t>Clothing</t>
  </si>
  <si>
    <t>Electronics</t>
  </si>
  <si>
    <t>Month</t>
  </si>
  <si>
    <t>Row Labels</t>
  </si>
  <si>
    <t>Grand Total</t>
  </si>
  <si>
    <t>Sum of Total Amount</t>
  </si>
  <si>
    <t xml:space="preserve"> Sales</t>
  </si>
  <si>
    <t>Estimated Cost</t>
  </si>
  <si>
    <t>Profit</t>
  </si>
  <si>
    <t>Sales_Diff</t>
  </si>
  <si>
    <t>Sales_Diff_Lag1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</si>
  <si>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</si>
  <si>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</si>
  <si>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</si>
  <si>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</si>
  <si>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</si>
  <si>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</si>
  <si>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</si>
  <si>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</si>
  <si>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</si>
  <si>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</si>
  <si>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</si>
  <si>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</si>
  <si>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</si>
  <si>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</si>
  <si>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</si>
  <si>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</si>
  <si>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</si>
  <si>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</si>
  <si>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</si>
  <si>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</si>
  <si>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</si>
  <si>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</si>
  <si>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</si>
  <si>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</si>
  <si>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</si>
  <si>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Model Parameters</t>
  </si>
  <si>
    <t>Intercept (α)</t>
  </si>
  <si>
    <t>AR(1) Coefficient (β)</t>
  </si>
  <si>
    <t>Predicted_Sales_Diff</t>
  </si>
  <si>
    <t>Predicted_Sales</t>
  </si>
  <si>
    <t>Error</t>
  </si>
  <si>
    <t>APE</t>
  </si>
  <si>
    <t>MAPE -</t>
  </si>
  <si>
    <t>Squared_Error</t>
  </si>
  <si>
    <t>RMSE-</t>
  </si>
  <si>
    <t>Base Forecast Summary</t>
  </si>
  <si>
    <t>Total Predicted Sales</t>
  </si>
  <si>
    <t>Total Estimated Cost</t>
  </si>
  <si>
    <t>Total Profit (Base Case)</t>
  </si>
  <si>
    <t>Sales Change %</t>
  </si>
  <si>
    <t>Sales Adjustment %</t>
  </si>
  <si>
    <t>Sales Adjustment Input</t>
  </si>
  <si>
    <t>Target Profit</t>
  </si>
  <si>
    <t>Profit after Sales Adjustment</t>
  </si>
  <si>
    <t>Goal Seek Result</t>
  </si>
  <si>
    <t>Required Sales Increase (%)</t>
  </si>
  <si>
    <t>Achieved Profit</t>
  </si>
  <si>
    <t>Insight</t>
  </si>
  <si>
    <t>A sales increase of approximately 5% is required to achieve the target profit of ₹100,000, indicating moderate sensitivity of profitability to revenue growth under current cost assumptions.</t>
  </si>
  <si>
    <t>Under current cost structure, revenue growth is a more effective lever than cost reduction for short-term profit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</si>
</sst>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;@"/>
    <numFmt numFmtId="166" formatCode="mmm\-yyyy"/>
    <numFmt numFmtId="173" formatCode="&quot;₹&quot;#,##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4"/>
      <color theme="4" tint="0.39997558519241921"/>
      <name val="Aptos Narrow"/>
      <scheme val="minor"/>
    </font>
    <font>
      <b/>
      <i/>
      <sz val="12"/>
      <color theme="4" tint="0.39997558519241921"/>
      <name val="Aptos Display"/>
      <scheme val="major"/>
    </font>
    <font>
      <sz val="14"/>
      <color theme="1"/>
      <name val="Aptos Narrow"/>
      <scheme val="minor"/>
    </font>
    <font>
      <b/>
      <sz val="20"/>
      <color theme="4" tint="0.39997558519241921"/>
      <name val="Aptos Narrow"/>
      <scheme val="minor"/>
    </font>
    <font>
      <i/>
      <sz val="14"/>
      <color rgb="FF0E0E0E"/>
      <name val=".AppleSystemUIFon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166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right"/>
    </xf>
    <xf numFmtId="10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9" fontId="19" fillId="0" borderId="0" xfId="0" applyNumberFormat="1" applyFont="1"/>
    <xf numFmtId="0" fontId="21" fillId="0" borderId="10" xfId="0" applyFont="1" applyBorder="1"/>
    <xf numFmtId="173" fontId="0" fillId="0" borderId="0" xfId="0" applyNumberFormat="1"/>
    <xf numFmtId="0" fontId="22" fillId="0" borderId="10" xfId="0" applyFont="1" applyBorder="1"/>
    <xf numFmtId="0" fontId="23" fillId="0" borderId="0" xfId="0" applyFont="1"/>
    <xf numFmtId="0" fontId="24" fillId="0" borderId="10" xfId="0" applyFont="1" applyBorder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Sales Trend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506927038419068E-2"/>
          <c:y val="0.13090214423041599"/>
          <c:w val="0.90049307296158088"/>
          <c:h val="0.74444030810301121"/>
        </c:manualLayout>
      </c:layout>
      <c:lineChart>
        <c:grouping val="standard"/>
        <c:varyColors val="0"/>
        <c:ser>
          <c:idx val="0"/>
          <c:order val="0"/>
          <c:tx>
            <c:strRef>
              <c:f>Financial_Data!$B$1</c:f>
              <c:strCache>
                <c:ptCount val="1"/>
                <c:pt idx="0">
                  <c:v>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Financial_Data!$A$2:$A$14</c:f>
              <c:numCache>
                <c:formatCode>mmm\-yyyy</c:formatCode>
                <c:ptCount val="13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</c:numCache>
            </c:numRef>
          </c:cat>
          <c:val>
            <c:numRef>
              <c:f>Financial_Data!$B$2:$B$14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B-C246-8735-5E4D588CD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0272"/>
        <c:axId val="221214752"/>
      </c:lineChart>
      <c:dateAx>
        <c:axId val="22121027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4752"/>
        <c:crosses val="autoZero"/>
        <c:auto val="1"/>
        <c:lblOffset val="100"/>
        <c:baseTimeUnit val="months"/>
      </c:dateAx>
      <c:valAx>
        <c:axId val="2212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Differenced Sales (</a:t>
            </a:r>
            <a:r>
              <a:rPr lang="el-GR"/>
              <a:t>Δ</a:t>
            </a:r>
            <a:r>
              <a:rPr lang="en-US"/>
              <a:t>Sales)</a:t>
            </a:r>
          </a:p>
        </c:rich>
      </c:tx>
      <c:layout>
        <c:manualLayout>
          <c:xMode val="edge"/>
          <c:yMode val="edge"/>
          <c:x val="0.16685424190397252"/>
          <c:y val="1.7289397044547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Financial_Data!$E$1</c:f>
              <c:strCache>
                <c:ptCount val="1"/>
                <c:pt idx="0">
                  <c:v>Sales_Diff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Financial_Data!$A$2:$A$14</c:f>
              <c:numCache>
                <c:formatCode>mmm\-yyyy</c:formatCode>
                <c:ptCount val="13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</c:numCache>
            </c:numRef>
          </c:cat>
          <c:val>
            <c:numRef>
              <c:f>Financial_Data!$E$2:$E$14</c:f>
              <c:numCache>
                <c:formatCode>General</c:formatCode>
                <c:ptCount val="13"/>
                <c:pt idx="0">
                  <c:v>8610</c:v>
                </c:pt>
                <c:pt idx="1">
                  <c:v>-15070</c:v>
                </c:pt>
                <c:pt idx="2">
                  <c:v>4880</c:v>
                </c:pt>
                <c:pt idx="3">
                  <c:v>19280</c:v>
                </c:pt>
                <c:pt idx="4">
                  <c:v>-16435</c:v>
                </c:pt>
                <c:pt idx="5">
                  <c:v>-1250</c:v>
                </c:pt>
                <c:pt idx="6">
                  <c:v>1495</c:v>
                </c:pt>
                <c:pt idx="7">
                  <c:v>-13340</c:v>
                </c:pt>
                <c:pt idx="8">
                  <c:v>22960</c:v>
                </c:pt>
                <c:pt idx="9">
                  <c:v>-11660</c:v>
                </c:pt>
                <c:pt idx="10">
                  <c:v>9770</c:v>
                </c:pt>
                <c:pt idx="11">
                  <c:v>-44690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B-7F43-91C1-5E39A470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403104"/>
        <c:axId val="1909314704"/>
      </c:lineChart>
      <c:dateAx>
        <c:axId val="190940310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314704"/>
        <c:crosses val="autoZero"/>
        <c:auto val="1"/>
        <c:lblOffset val="100"/>
        <c:baseTimeUnit val="months"/>
      </c:dateAx>
      <c:valAx>
        <c:axId val="190931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0</xdr:rowOff>
    </xdr:from>
    <xdr:to>
      <xdr:col>14</xdr:col>
      <xdr:colOff>114300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70979-F1C6-82BB-13B1-AC38C5738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20</xdr:row>
      <xdr:rowOff>25400</xdr:rowOff>
    </xdr:from>
    <xdr:to>
      <xdr:col>5</xdr:col>
      <xdr:colOff>469900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FED9DF-2CFD-F87E-41DE-538A48155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d pratap" refreshedDate="46021.986492476855" createdVersion="8" refreshedVersion="8" minRefreshableVersion="3" recordCount="1000" xr:uid="{0FB98853-4716-CB4E-B611-3639AF42A6A8}">
  <cacheSource type="worksheet">
    <worksheetSource ref="A1:H1001" sheet="Raw_Data"/>
  </cacheSource>
  <cacheFields count="11">
    <cacheField name="Date" numFmtId="165">
      <sharedItems containsSemiMixedTypes="0" containsNonDate="0" containsDate="1" containsString="0" minDate="2023-01-01T00:00:00" maxDate="2024-01-02T00:00:00"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" numFmtId="166">
      <sharedItems containsSemiMixedTypes="0" containsNonDate="0" containsDate="1" containsString="0" minDate="2023-01-31T00:00:00" maxDate="2024-02-01T00:00:00" count="13">
        <d v="2023-11-30T00:00:00"/>
        <d v="2023-02-28T00:00:00"/>
        <d v="2023-01-31T00:00:00"/>
        <d v="2023-05-31T00:00:00"/>
        <d v="2023-04-30T00:00:00"/>
        <d v="2023-03-31T00:00:00"/>
        <d v="2023-12-31T00:00:00"/>
        <d v="2023-10-31T00:00:00"/>
        <d v="2023-08-31T00:00:00"/>
        <d v="2023-09-30T00:00:00"/>
        <d v="2023-06-30T00:00:00"/>
        <d v="2023-07-31T00:00:00"/>
        <d v="2024-01-31T00:00:00"/>
      </sharedItems>
      <fieldGroup par="10"/>
    </cacheField>
    <cacheField name="Months (Month)" numFmtId="0" databaseField="0">
      <fieldGroup base="7">
        <rangePr groupBy="months" startDate="2023-01-31T00:00:00" endDate="2024-02-01T00:00:00"/>
        <groupItems count="14">
          <s v="&lt;3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2/24"/>
        </groupItems>
      </fieldGroup>
    </cacheField>
    <cacheField name="Quarters (Month)" numFmtId="0" databaseField="0">
      <fieldGroup base="7">
        <rangePr groupBy="quarters" startDate="2023-01-31T00:00:00" endDate="2024-02-01T00:00:00"/>
        <groupItems count="6">
          <s v="&lt;31/01/23"/>
          <s v="Qtr1"/>
          <s v="Qtr2"/>
          <s v="Qtr3"/>
          <s v="Qtr4"/>
          <s v="&gt;01/02/24"/>
        </groupItems>
      </fieldGroup>
    </cacheField>
    <cacheField name="Years (Month)" numFmtId="0" databaseField="0">
      <fieldGroup base="7">
        <rangePr groupBy="years" startDate="2023-01-31T00:00:00" endDate="2024-02-01T00:00:00"/>
        <groupItems count="4">
          <s v="&lt;31/01/23"/>
          <s v="2023"/>
          <s v="2024"/>
          <s v="&gt;01/0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3-11-24T00:00:00"/>
    <s v="Male"/>
    <n v="34"/>
    <s v="Beauty"/>
    <n v="3"/>
    <n v="50"/>
    <n v="150"/>
    <x v="0"/>
  </r>
  <r>
    <d v="2023-02-27T00:00:00"/>
    <s v="Female"/>
    <n v="26"/>
    <s v="Clothing"/>
    <n v="2"/>
    <n v="500"/>
    <n v="1000"/>
    <x v="1"/>
  </r>
  <r>
    <d v="2023-01-13T00:00:00"/>
    <s v="Male"/>
    <n v="50"/>
    <s v="Electronics"/>
    <n v="1"/>
    <n v="30"/>
    <n v="30"/>
    <x v="2"/>
  </r>
  <r>
    <d v="2023-05-21T00:00:00"/>
    <s v="Male"/>
    <n v="37"/>
    <s v="Clothing"/>
    <n v="1"/>
    <n v="500"/>
    <n v="500"/>
    <x v="3"/>
  </r>
  <r>
    <d v="2023-05-06T00:00:00"/>
    <s v="Male"/>
    <n v="30"/>
    <s v="Beauty"/>
    <n v="2"/>
    <n v="50"/>
    <n v="100"/>
    <x v="3"/>
  </r>
  <r>
    <d v="2023-04-25T00:00:00"/>
    <s v="Female"/>
    <n v="45"/>
    <s v="Beauty"/>
    <n v="1"/>
    <n v="30"/>
    <n v="30"/>
    <x v="4"/>
  </r>
  <r>
    <d v="2023-03-13T00:00:00"/>
    <s v="Male"/>
    <n v="46"/>
    <s v="Clothing"/>
    <n v="2"/>
    <n v="25"/>
    <n v="50"/>
    <x v="5"/>
  </r>
  <r>
    <d v="2023-02-22T00:00:00"/>
    <s v="Male"/>
    <n v="30"/>
    <s v="Electronics"/>
    <n v="4"/>
    <n v="25"/>
    <n v="100"/>
    <x v="1"/>
  </r>
  <r>
    <d v="2023-12-13T00:00:00"/>
    <s v="Male"/>
    <n v="63"/>
    <s v="Electronics"/>
    <n v="2"/>
    <n v="300"/>
    <n v="600"/>
    <x v="6"/>
  </r>
  <r>
    <d v="2023-10-07T00:00:00"/>
    <s v="Female"/>
    <n v="52"/>
    <s v="Clothing"/>
    <n v="4"/>
    <n v="50"/>
    <n v="200"/>
    <x v="7"/>
  </r>
  <r>
    <d v="2023-02-14T00:00:00"/>
    <s v="Male"/>
    <n v="23"/>
    <s v="Clothing"/>
    <n v="2"/>
    <n v="50"/>
    <n v="100"/>
    <x v="1"/>
  </r>
  <r>
    <d v="2023-10-30T00:00:00"/>
    <s v="Male"/>
    <n v="35"/>
    <s v="Beauty"/>
    <n v="3"/>
    <n v="25"/>
    <n v="75"/>
    <x v="7"/>
  </r>
  <r>
    <d v="2023-08-05T00:00:00"/>
    <s v="Male"/>
    <n v="22"/>
    <s v="Electronics"/>
    <n v="3"/>
    <n v="500"/>
    <n v="1500"/>
    <x v="8"/>
  </r>
  <r>
    <d v="2023-01-17T00:00:00"/>
    <s v="Male"/>
    <n v="64"/>
    <s v="Clothing"/>
    <n v="4"/>
    <n v="30"/>
    <n v="120"/>
    <x v="2"/>
  </r>
  <r>
    <d v="2023-01-16T00:00:00"/>
    <s v="Female"/>
    <n v="42"/>
    <s v="Electronics"/>
    <n v="4"/>
    <n v="500"/>
    <n v="2000"/>
    <x v="2"/>
  </r>
  <r>
    <d v="2023-02-17T00:00:00"/>
    <s v="Male"/>
    <n v="19"/>
    <s v="Clothing"/>
    <n v="3"/>
    <n v="500"/>
    <n v="1500"/>
    <x v="1"/>
  </r>
  <r>
    <d v="2023-04-22T00:00:00"/>
    <s v="Female"/>
    <n v="27"/>
    <s v="Clothing"/>
    <n v="4"/>
    <n v="25"/>
    <n v="100"/>
    <x v="4"/>
  </r>
  <r>
    <d v="2023-04-30T00:00:00"/>
    <s v="Female"/>
    <n v="47"/>
    <s v="Electronics"/>
    <n v="2"/>
    <n v="25"/>
    <n v="50"/>
    <x v="4"/>
  </r>
  <r>
    <d v="2023-09-16T00:00:00"/>
    <s v="Female"/>
    <n v="62"/>
    <s v="Clothing"/>
    <n v="2"/>
    <n v="25"/>
    <n v="50"/>
    <x v="9"/>
  </r>
  <r>
    <d v="2023-11-05T00:00:00"/>
    <s v="Male"/>
    <n v="22"/>
    <s v="Clothing"/>
    <n v="3"/>
    <n v="300"/>
    <n v="900"/>
    <x v="0"/>
  </r>
  <r>
    <d v="2023-01-14T00:00:00"/>
    <s v="Female"/>
    <n v="50"/>
    <s v="Beauty"/>
    <n v="1"/>
    <n v="500"/>
    <n v="500"/>
    <x v="2"/>
  </r>
  <r>
    <d v="2023-10-15T00:00:00"/>
    <s v="Male"/>
    <n v="18"/>
    <s v="Clothing"/>
    <n v="2"/>
    <n v="50"/>
    <n v="100"/>
    <x v="7"/>
  </r>
  <r>
    <d v="2023-04-12T00:00:00"/>
    <s v="Female"/>
    <n v="35"/>
    <s v="Clothing"/>
    <n v="4"/>
    <n v="30"/>
    <n v="120"/>
    <x v="4"/>
  </r>
  <r>
    <d v="2023-11-29T00:00:00"/>
    <s v="Female"/>
    <n v="49"/>
    <s v="Clothing"/>
    <n v="1"/>
    <n v="300"/>
    <n v="300"/>
    <x v="0"/>
  </r>
  <r>
    <d v="2023-12-26T00:00:00"/>
    <s v="Female"/>
    <n v="64"/>
    <s v="Beauty"/>
    <n v="1"/>
    <n v="50"/>
    <n v="50"/>
    <x v="6"/>
  </r>
  <r>
    <d v="2023-10-07T00:00:00"/>
    <s v="Female"/>
    <n v="28"/>
    <s v="Electronics"/>
    <n v="2"/>
    <n v="500"/>
    <n v="1000"/>
    <x v="7"/>
  </r>
  <r>
    <d v="2023-08-03T00:00:00"/>
    <s v="Female"/>
    <n v="38"/>
    <s v="Beauty"/>
    <n v="2"/>
    <n v="25"/>
    <n v="50"/>
    <x v="8"/>
  </r>
  <r>
    <d v="2023-04-23T00:00:00"/>
    <s v="Female"/>
    <n v="43"/>
    <s v="Beauty"/>
    <n v="1"/>
    <n v="500"/>
    <n v="500"/>
    <x v="4"/>
  </r>
  <r>
    <d v="2023-08-18T00:00:00"/>
    <s v="Female"/>
    <n v="42"/>
    <s v="Electronics"/>
    <n v="1"/>
    <n v="30"/>
    <n v="30"/>
    <x v="8"/>
  </r>
  <r>
    <d v="2023-10-29T00:00:00"/>
    <s v="Female"/>
    <n v="39"/>
    <s v="Beauty"/>
    <n v="3"/>
    <n v="300"/>
    <n v="900"/>
    <x v="7"/>
  </r>
  <r>
    <d v="2023-05-23T00:00:00"/>
    <s v="Male"/>
    <n v="44"/>
    <s v="Electronics"/>
    <n v="4"/>
    <n v="300"/>
    <n v="1200"/>
    <x v="3"/>
  </r>
  <r>
    <d v="2023-01-04T00:00:00"/>
    <s v="Male"/>
    <n v="30"/>
    <s v="Beauty"/>
    <n v="3"/>
    <n v="30"/>
    <n v="90"/>
    <x v="2"/>
  </r>
  <r>
    <d v="2023-03-23T00:00:00"/>
    <s v="Female"/>
    <n v="50"/>
    <s v="Electronics"/>
    <n v="2"/>
    <n v="50"/>
    <n v="100"/>
    <x v="5"/>
  </r>
  <r>
    <d v="2023-12-24T00:00:00"/>
    <s v="Female"/>
    <n v="51"/>
    <s v="Clothing"/>
    <n v="3"/>
    <n v="50"/>
    <n v="150"/>
    <x v="6"/>
  </r>
  <r>
    <d v="2023-08-05T00:00:00"/>
    <s v="Female"/>
    <n v="58"/>
    <s v="Beauty"/>
    <n v="3"/>
    <n v="300"/>
    <n v="900"/>
    <x v="8"/>
  </r>
  <r>
    <d v="2023-06-24T00:00:00"/>
    <s v="Male"/>
    <n v="52"/>
    <s v="Beauty"/>
    <n v="3"/>
    <n v="300"/>
    <n v="900"/>
    <x v="10"/>
  </r>
  <r>
    <d v="2023-05-23T00:00:00"/>
    <s v="Female"/>
    <n v="18"/>
    <s v="Beauty"/>
    <n v="3"/>
    <n v="25"/>
    <n v="75"/>
    <x v="3"/>
  </r>
  <r>
    <d v="2023-03-21T00:00:00"/>
    <s v="Male"/>
    <n v="38"/>
    <s v="Beauty"/>
    <n v="4"/>
    <n v="50"/>
    <n v="200"/>
    <x v="5"/>
  </r>
  <r>
    <d v="2023-04-21T00:00:00"/>
    <s v="Male"/>
    <n v="23"/>
    <s v="Clothing"/>
    <n v="4"/>
    <n v="30"/>
    <n v="120"/>
    <x v="4"/>
  </r>
  <r>
    <d v="2023-06-22T00:00:00"/>
    <s v="Male"/>
    <n v="45"/>
    <s v="Beauty"/>
    <n v="1"/>
    <n v="50"/>
    <n v="50"/>
    <x v="10"/>
  </r>
  <r>
    <d v="2023-02-22T00:00:00"/>
    <s v="Male"/>
    <n v="34"/>
    <s v="Clothing"/>
    <n v="2"/>
    <n v="25"/>
    <n v="50"/>
    <x v="1"/>
  </r>
  <r>
    <d v="2023-02-17T00:00:00"/>
    <s v="Male"/>
    <n v="22"/>
    <s v="Clothing"/>
    <n v="3"/>
    <n v="300"/>
    <n v="900"/>
    <x v="1"/>
  </r>
  <r>
    <d v="2023-07-14T00:00:00"/>
    <s v="Female"/>
    <n v="48"/>
    <s v="Clothing"/>
    <n v="1"/>
    <n v="300"/>
    <n v="300"/>
    <x v="11"/>
  </r>
  <r>
    <d v="2023-02-19T00:00:00"/>
    <s v="Female"/>
    <n v="22"/>
    <s v="Clothing"/>
    <n v="1"/>
    <n v="25"/>
    <n v="25"/>
    <x v="1"/>
  </r>
  <r>
    <d v="2023-07-03T00:00:00"/>
    <s v="Female"/>
    <n v="55"/>
    <s v="Electronics"/>
    <n v="1"/>
    <n v="30"/>
    <n v="30"/>
    <x v="11"/>
  </r>
  <r>
    <d v="2023-06-26T00:00:00"/>
    <s v="Female"/>
    <n v="20"/>
    <s v="Electronics"/>
    <n v="4"/>
    <n v="300"/>
    <n v="1200"/>
    <x v="10"/>
  </r>
  <r>
    <d v="2023-11-06T00:00:00"/>
    <s v="Female"/>
    <n v="40"/>
    <s v="Beauty"/>
    <n v="3"/>
    <n v="500"/>
    <n v="1500"/>
    <x v="0"/>
  </r>
  <r>
    <d v="2023-05-16T00:00:00"/>
    <s v="Male"/>
    <n v="54"/>
    <s v="Electronics"/>
    <n v="3"/>
    <n v="300"/>
    <n v="900"/>
    <x v="3"/>
  </r>
  <r>
    <d v="2023-01-23T00:00:00"/>
    <s v="Female"/>
    <n v="54"/>
    <s v="Electronics"/>
    <n v="2"/>
    <n v="500"/>
    <n v="1000"/>
    <x v="2"/>
  </r>
  <r>
    <d v="2023-08-24T00:00:00"/>
    <s v="Female"/>
    <n v="27"/>
    <s v="Beauty"/>
    <n v="3"/>
    <n v="25"/>
    <n v="75"/>
    <x v="8"/>
  </r>
  <r>
    <d v="2023-10-02T00:00:00"/>
    <s v="Male"/>
    <n v="27"/>
    <s v="Beauty"/>
    <n v="3"/>
    <n v="25"/>
    <n v="75"/>
    <x v="7"/>
  </r>
  <r>
    <d v="2023-03-05T00:00:00"/>
    <s v="Female"/>
    <n v="36"/>
    <s v="Beauty"/>
    <n v="1"/>
    <n v="300"/>
    <n v="300"/>
    <x v="5"/>
  </r>
  <r>
    <d v="2023-07-13T00:00:00"/>
    <s v="Male"/>
    <n v="34"/>
    <s v="Electronics"/>
    <n v="2"/>
    <n v="50"/>
    <n v="100"/>
    <x v="11"/>
  </r>
  <r>
    <d v="2023-02-10T00:00:00"/>
    <s v="Female"/>
    <n v="38"/>
    <s v="Electronics"/>
    <n v="3"/>
    <n v="500"/>
    <n v="1500"/>
    <x v="1"/>
  </r>
  <r>
    <d v="2023-10-10T00:00:00"/>
    <s v="Male"/>
    <n v="31"/>
    <s v="Beauty"/>
    <n v="4"/>
    <n v="30"/>
    <n v="120"/>
    <x v="7"/>
  </r>
  <r>
    <d v="2023-05-31T00:00:00"/>
    <s v="Female"/>
    <n v="26"/>
    <s v="Clothing"/>
    <n v="3"/>
    <n v="300"/>
    <n v="900"/>
    <x v="3"/>
  </r>
  <r>
    <d v="2023-11-18T00:00:00"/>
    <s v="Female"/>
    <n v="63"/>
    <s v="Beauty"/>
    <n v="1"/>
    <n v="30"/>
    <n v="30"/>
    <x v="0"/>
  </r>
  <r>
    <d v="2023-11-13T00:00:00"/>
    <s v="Male"/>
    <n v="18"/>
    <s v="Clothing"/>
    <n v="4"/>
    <n v="300"/>
    <n v="1200"/>
    <x v="0"/>
  </r>
  <r>
    <d v="2023-07-05T00:00:00"/>
    <s v="Male"/>
    <n v="62"/>
    <s v="Clothing"/>
    <n v="1"/>
    <n v="50"/>
    <n v="50"/>
    <x v="11"/>
  </r>
  <r>
    <d v="2023-10-23T00:00:00"/>
    <s v="Male"/>
    <n v="30"/>
    <s v="Beauty"/>
    <n v="3"/>
    <n v="50"/>
    <n v="150"/>
    <x v="7"/>
  </r>
  <r>
    <d v="2023-04-09T00:00:00"/>
    <s v="Male"/>
    <n v="21"/>
    <s v="Beauty"/>
    <n v="4"/>
    <n v="50"/>
    <n v="200"/>
    <x v="4"/>
  </r>
  <r>
    <d v="2023-12-27T00:00:00"/>
    <s v="Male"/>
    <n v="18"/>
    <s v="Beauty"/>
    <n v="2"/>
    <n v="50"/>
    <n v="100"/>
    <x v="6"/>
  </r>
  <r>
    <d v="2023-02-05T00:00:00"/>
    <s v="Male"/>
    <n v="57"/>
    <s v="Electronics"/>
    <n v="2"/>
    <n v="25"/>
    <n v="50"/>
    <x v="1"/>
  </r>
  <r>
    <d v="2023-01-24T00:00:00"/>
    <s v="Male"/>
    <n v="49"/>
    <s v="Clothing"/>
    <n v="4"/>
    <n v="25"/>
    <n v="100"/>
    <x v="2"/>
  </r>
  <r>
    <d v="2023-12-05T00:00:00"/>
    <s v="Male"/>
    <n v="51"/>
    <s v="Electronics"/>
    <n v="4"/>
    <n v="500"/>
    <n v="2000"/>
    <x v="6"/>
  </r>
  <r>
    <d v="2023-04-27T00:00:00"/>
    <s v="Female"/>
    <n v="45"/>
    <s v="Electronics"/>
    <n v="1"/>
    <n v="30"/>
    <n v="30"/>
    <x v="4"/>
  </r>
  <r>
    <d v="2023-05-29T00:00:00"/>
    <s v="Female"/>
    <n v="48"/>
    <s v="Beauty"/>
    <n v="4"/>
    <n v="300"/>
    <n v="1200"/>
    <x v="3"/>
  </r>
  <r>
    <d v="2023-02-10T00:00:00"/>
    <s v="Male"/>
    <n v="25"/>
    <s v="Electronics"/>
    <n v="1"/>
    <n v="300"/>
    <n v="300"/>
    <x v="1"/>
  </r>
  <r>
    <d v="2023-04-30T00:00:00"/>
    <s v="Female"/>
    <n v="56"/>
    <s v="Beauty"/>
    <n v="3"/>
    <n v="25"/>
    <n v="75"/>
    <x v="4"/>
  </r>
  <r>
    <d v="2023-02-21T00:00:00"/>
    <s v="Female"/>
    <n v="43"/>
    <s v="Clothing"/>
    <n v="1"/>
    <n v="300"/>
    <n v="300"/>
    <x v="1"/>
  </r>
  <r>
    <d v="2023-07-14T00:00:00"/>
    <s v="Female"/>
    <n v="51"/>
    <s v="Beauty"/>
    <n v="4"/>
    <n v="25"/>
    <n v="100"/>
    <x v="11"/>
  </r>
  <r>
    <d v="2023-05-23T00:00:00"/>
    <s v="Female"/>
    <n v="20"/>
    <s v="Electronics"/>
    <n v="4"/>
    <n v="500"/>
    <n v="2000"/>
    <x v="3"/>
  </r>
  <r>
    <d v="2023-08-21T00:00:00"/>
    <s v="Male"/>
    <n v="29"/>
    <s v="Electronics"/>
    <n v="3"/>
    <n v="30"/>
    <n v="90"/>
    <x v="8"/>
  </r>
  <r>
    <d v="2023-11-22T00:00:00"/>
    <s v="Female"/>
    <n v="18"/>
    <s v="Beauty"/>
    <n v="4"/>
    <n v="500"/>
    <n v="2000"/>
    <x v="0"/>
  </r>
  <r>
    <d v="2023-07-06T00:00:00"/>
    <s v="Male"/>
    <n v="61"/>
    <s v="Beauty"/>
    <n v="4"/>
    <n v="50"/>
    <n v="200"/>
    <x v="11"/>
  </r>
  <r>
    <d v="2023-03-25T00:00:00"/>
    <s v="Female"/>
    <n v="22"/>
    <s v="Electronics"/>
    <n v="2"/>
    <n v="50"/>
    <n v="100"/>
    <x v="5"/>
  </r>
  <r>
    <d v="2023-07-09T00:00:00"/>
    <s v="Female"/>
    <n v="47"/>
    <s v="Clothing"/>
    <n v="2"/>
    <n v="50"/>
    <n v="100"/>
    <x v="11"/>
  </r>
  <r>
    <d v="2023-07-01T00:00:00"/>
    <s v="Female"/>
    <n v="47"/>
    <s v="Clothing"/>
    <n v="3"/>
    <n v="500"/>
    <n v="1500"/>
    <x v="11"/>
  </r>
  <r>
    <d v="2023-04-18T00:00:00"/>
    <s v="Male"/>
    <n v="34"/>
    <s v="Beauty"/>
    <n v="1"/>
    <n v="300"/>
    <n v="300"/>
    <x v="4"/>
  </r>
  <r>
    <d v="2023-12-10T00:00:00"/>
    <s v="Female"/>
    <n v="64"/>
    <s v="Clothing"/>
    <n v="2"/>
    <n v="30"/>
    <n v="60"/>
    <x v="6"/>
  </r>
  <r>
    <d v="2023-05-17T00:00:00"/>
    <s v="Male"/>
    <n v="40"/>
    <s v="Electronics"/>
    <n v="1"/>
    <n v="50"/>
    <n v="50"/>
    <x v="3"/>
  </r>
  <r>
    <d v="2023-12-26T00:00:00"/>
    <s v="Female"/>
    <n v="32"/>
    <s v="Beauty"/>
    <n v="4"/>
    <n v="50"/>
    <n v="200"/>
    <x v="6"/>
  </r>
  <r>
    <d v="2023-12-16T00:00:00"/>
    <s v="Male"/>
    <n v="54"/>
    <s v="Electronics"/>
    <n v="2"/>
    <n v="50"/>
    <n v="100"/>
    <x v="6"/>
  </r>
  <r>
    <d v="2023-11-28T00:00:00"/>
    <s v="Female"/>
    <n v="38"/>
    <s v="Electronics"/>
    <n v="3"/>
    <n v="30"/>
    <n v="90"/>
    <x v="0"/>
  </r>
  <r>
    <d v="2023-02-06T00:00:00"/>
    <s v="Male"/>
    <n v="31"/>
    <s v="Clothing"/>
    <n v="3"/>
    <n v="50"/>
    <n v="150"/>
    <x v="1"/>
  </r>
  <r>
    <d v="2023-11-08T00:00:00"/>
    <s v="Male"/>
    <n v="19"/>
    <s v="Beauty"/>
    <n v="3"/>
    <n v="30"/>
    <n v="90"/>
    <x v="0"/>
  </r>
  <r>
    <d v="2023-11-22T00:00:00"/>
    <s v="Female"/>
    <n v="28"/>
    <s v="Beauty"/>
    <n v="2"/>
    <n v="50"/>
    <n v="100"/>
    <x v="0"/>
  </r>
  <r>
    <d v="2023-03-29T00:00:00"/>
    <s v="Male"/>
    <n v="56"/>
    <s v="Clothing"/>
    <n v="1"/>
    <n v="500"/>
    <n v="500"/>
    <x v="5"/>
  </r>
  <r>
    <d v="2023-10-01T00:00:00"/>
    <s v="Female"/>
    <n v="55"/>
    <s v="Electronics"/>
    <n v="4"/>
    <n v="500"/>
    <n v="2000"/>
    <x v="7"/>
  </r>
  <r>
    <d v="2023-05-06T00:00:00"/>
    <s v="Female"/>
    <n v="51"/>
    <s v="Electronics"/>
    <n v="1"/>
    <n v="30"/>
    <n v="30"/>
    <x v="3"/>
  </r>
  <r>
    <d v="2023-03-25T00:00:00"/>
    <s v="Female"/>
    <n v="55"/>
    <s v="Electronics"/>
    <n v="1"/>
    <n v="500"/>
    <n v="500"/>
    <x v="5"/>
  </r>
  <r>
    <d v="2023-08-25T00:00:00"/>
    <s v="Female"/>
    <n v="51"/>
    <s v="Electronics"/>
    <n v="4"/>
    <n v="30"/>
    <n v="120"/>
    <x v="8"/>
  </r>
  <r>
    <d v="2023-07-14T00:00:00"/>
    <s v="Female"/>
    <n v="35"/>
    <s v="Beauty"/>
    <n v="4"/>
    <n v="500"/>
    <n v="2000"/>
    <x v="11"/>
  </r>
  <r>
    <d v="2023-05-19T00:00:00"/>
    <s v="Female"/>
    <n v="47"/>
    <s v="Beauty"/>
    <n v="2"/>
    <n v="500"/>
    <n v="1000"/>
    <x v="3"/>
  </r>
  <r>
    <d v="2023-11-24T00:00:00"/>
    <s v="Female"/>
    <n v="32"/>
    <s v="Clothing"/>
    <n v="2"/>
    <n v="30"/>
    <n v="60"/>
    <x v="0"/>
  </r>
  <r>
    <d v="2023-12-19T00:00:00"/>
    <s v="Female"/>
    <n v="44"/>
    <s v="Clothing"/>
    <n v="2"/>
    <n v="300"/>
    <n v="600"/>
    <x v="6"/>
  </r>
  <r>
    <d v="2023-10-13T00:00:00"/>
    <s v="Female"/>
    <n v="51"/>
    <s v="Beauty"/>
    <n v="2"/>
    <n v="500"/>
    <n v="1000"/>
    <x v="7"/>
  </r>
  <r>
    <d v="2023-04-23T00:00:00"/>
    <s v="Female"/>
    <n v="55"/>
    <s v="Beauty"/>
    <n v="2"/>
    <n v="50"/>
    <n v="100"/>
    <x v="4"/>
  </r>
  <r>
    <d v="2023-12-17T00:00:00"/>
    <s v="Female"/>
    <n v="50"/>
    <s v="Electronics"/>
    <n v="4"/>
    <n v="300"/>
    <n v="1200"/>
    <x v="6"/>
  </r>
  <r>
    <d v="2023-06-16T00:00:00"/>
    <s v="Male"/>
    <n v="41"/>
    <s v="Electronics"/>
    <n v="1"/>
    <n v="30"/>
    <n v="30"/>
    <x v="10"/>
  </r>
  <r>
    <d v="2023-01-29T00:00:00"/>
    <s v="Male"/>
    <n v="32"/>
    <s v="Clothing"/>
    <n v="2"/>
    <n v="300"/>
    <n v="600"/>
    <x v="2"/>
  </r>
  <r>
    <d v="2023-04-28T00:00:00"/>
    <s v="Female"/>
    <n v="47"/>
    <s v="Beauty"/>
    <n v="2"/>
    <n v="25"/>
    <n v="50"/>
    <x v="4"/>
  </r>
  <r>
    <d v="2023-01-17T00:00:00"/>
    <s v="Female"/>
    <n v="59"/>
    <s v="Clothing"/>
    <n v="1"/>
    <n v="25"/>
    <n v="25"/>
    <x v="2"/>
  </r>
  <r>
    <d v="2023-06-11T00:00:00"/>
    <s v="Female"/>
    <n v="34"/>
    <s v="Beauty"/>
    <n v="2"/>
    <n v="500"/>
    <n v="1000"/>
    <x v="10"/>
  </r>
  <r>
    <d v="2023-07-25T00:00:00"/>
    <s v="Female"/>
    <n v="22"/>
    <s v="Electronics"/>
    <n v="1"/>
    <n v="500"/>
    <n v="500"/>
    <x v="11"/>
  </r>
  <r>
    <d v="2023-05-18T00:00:00"/>
    <s v="Female"/>
    <n v="46"/>
    <s v="Clothing"/>
    <n v="1"/>
    <n v="50"/>
    <n v="50"/>
    <x v="3"/>
  </r>
  <r>
    <d v="2023-02-03T00:00:00"/>
    <s v="Female"/>
    <n v="21"/>
    <s v="Clothing"/>
    <n v="4"/>
    <n v="300"/>
    <n v="1200"/>
    <x v="1"/>
  </r>
  <r>
    <d v="2023-04-19T00:00:00"/>
    <s v="Female"/>
    <n v="27"/>
    <s v="Beauty"/>
    <n v="3"/>
    <n v="25"/>
    <n v="75"/>
    <x v="4"/>
  </r>
  <r>
    <d v="2023-10-18T00:00:00"/>
    <s v="Female"/>
    <n v="34"/>
    <s v="Electronics"/>
    <n v="4"/>
    <n v="500"/>
    <n v="2000"/>
    <x v="7"/>
  </r>
  <r>
    <d v="2023-06-11T00:00:00"/>
    <s v="Male"/>
    <n v="27"/>
    <s v="Clothing"/>
    <n v="3"/>
    <n v="300"/>
    <n v="900"/>
    <x v="10"/>
  </r>
  <r>
    <d v="2023-04-19T00:00:00"/>
    <s v="Female"/>
    <n v="34"/>
    <s v="Electronics"/>
    <n v="3"/>
    <n v="500"/>
    <n v="1500"/>
    <x v="4"/>
  </r>
  <r>
    <d v="2023-12-02T00:00:00"/>
    <s v="Male"/>
    <n v="37"/>
    <s v="Clothing"/>
    <n v="3"/>
    <n v="500"/>
    <n v="1500"/>
    <x v="6"/>
  </r>
  <r>
    <d v="2023-09-13T00:00:00"/>
    <s v="Female"/>
    <n v="41"/>
    <s v="Electronics"/>
    <n v="2"/>
    <n v="25"/>
    <n v="50"/>
    <x v="9"/>
  </r>
  <r>
    <d v="2023-07-22T00:00:00"/>
    <s v="Female"/>
    <n v="22"/>
    <s v="Beauty"/>
    <n v="4"/>
    <n v="25"/>
    <n v="100"/>
    <x v="11"/>
  </r>
  <r>
    <d v="2023-11-26T00:00:00"/>
    <s v="Male"/>
    <n v="51"/>
    <s v="Clothing"/>
    <n v="3"/>
    <n v="500"/>
    <n v="1500"/>
    <x v="0"/>
  </r>
  <r>
    <d v="2023-08-23T00:00:00"/>
    <s v="Female"/>
    <n v="23"/>
    <s v="Clothing"/>
    <n v="1"/>
    <n v="30"/>
    <n v="30"/>
    <x v="8"/>
  </r>
  <r>
    <d v="2023-03-15T00:00:00"/>
    <s v="Male"/>
    <n v="19"/>
    <s v="Electronics"/>
    <n v="2"/>
    <n v="500"/>
    <n v="1000"/>
    <x v="5"/>
  </r>
  <r>
    <d v="2023-05-16T00:00:00"/>
    <s v="Female"/>
    <n v="30"/>
    <s v="Electronics"/>
    <n v="4"/>
    <n v="500"/>
    <n v="2000"/>
    <x v="3"/>
  </r>
  <r>
    <d v="2023-03-13T00:00:00"/>
    <s v="Female"/>
    <n v="60"/>
    <s v="Clothing"/>
    <n v="3"/>
    <n v="50"/>
    <n v="150"/>
    <x v="5"/>
  </r>
  <r>
    <d v="2023-05-07T00:00:00"/>
    <s v="Male"/>
    <n v="60"/>
    <s v="Beauty"/>
    <n v="1"/>
    <n v="50"/>
    <n v="50"/>
    <x v="3"/>
  </r>
  <r>
    <d v="2023-10-15T00:00:00"/>
    <s v="Female"/>
    <n v="28"/>
    <s v="Electronics"/>
    <n v="4"/>
    <n v="50"/>
    <n v="200"/>
    <x v="7"/>
  </r>
  <r>
    <d v="2023-10-03T00:00:00"/>
    <s v="Male"/>
    <n v="64"/>
    <s v="Electronics"/>
    <n v="4"/>
    <n v="30"/>
    <n v="120"/>
    <x v="7"/>
  </r>
  <r>
    <d v="2023-05-15T00:00:00"/>
    <s v="Female"/>
    <n v="40"/>
    <s v="Electronics"/>
    <n v="2"/>
    <n v="30"/>
    <n v="60"/>
    <x v="3"/>
  </r>
  <r>
    <d v="2023-10-27T00:00:00"/>
    <s v="Male"/>
    <n v="33"/>
    <s v="Clothing"/>
    <n v="4"/>
    <n v="500"/>
    <n v="2000"/>
    <x v="7"/>
  </r>
  <r>
    <d v="2023-08-08T00:00:00"/>
    <s v="Male"/>
    <n v="48"/>
    <s v="Clothing"/>
    <n v="2"/>
    <n v="50"/>
    <n v="100"/>
    <x v="8"/>
  </r>
  <r>
    <d v="2023-10-26T00:00:00"/>
    <s v="Female"/>
    <n v="28"/>
    <s v="Clothing"/>
    <n v="3"/>
    <n v="30"/>
    <n v="90"/>
    <x v="7"/>
  </r>
  <r>
    <d v="2023-07-24T00:00:00"/>
    <s v="Female"/>
    <n v="33"/>
    <s v="Clothing"/>
    <n v="2"/>
    <n v="25"/>
    <n v="50"/>
    <x v="11"/>
  </r>
  <r>
    <d v="2023-07-05T00:00:00"/>
    <s v="Male"/>
    <n v="25"/>
    <s v="Beauty"/>
    <n v="1"/>
    <n v="500"/>
    <n v="500"/>
    <x v="11"/>
  </r>
  <r>
    <d v="2023-04-23T00:00:00"/>
    <s v="Female"/>
    <n v="21"/>
    <s v="Beauty"/>
    <n v="2"/>
    <n v="300"/>
    <n v="600"/>
    <x v="4"/>
  </r>
  <r>
    <d v="2023-03-12T00:00:00"/>
    <s v="Female"/>
    <n v="57"/>
    <s v="Clothing"/>
    <n v="1"/>
    <n v="500"/>
    <n v="500"/>
    <x v="5"/>
  </r>
  <r>
    <d v="2023-09-18T00:00:00"/>
    <s v="Female"/>
    <n v="21"/>
    <s v="Beauty"/>
    <n v="2"/>
    <n v="300"/>
    <n v="600"/>
    <x v="9"/>
  </r>
  <r>
    <d v="2023-09-10T00:00:00"/>
    <s v="Male"/>
    <n v="42"/>
    <s v="Electronics"/>
    <n v="4"/>
    <n v="50"/>
    <n v="200"/>
    <x v="9"/>
  </r>
  <r>
    <d v="2023-02-16T00:00:00"/>
    <s v="Male"/>
    <n v="20"/>
    <s v="Electronics"/>
    <n v="3"/>
    <n v="300"/>
    <n v="900"/>
    <x v="1"/>
  </r>
  <r>
    <d v="2023-01-25T00:00:00"/>
    <s v="Male"/>
    <n v="49"/>
    <s v="Electronics"/>
    <n v="1"/>
    <n v="50"/>
    <n v="50"/>
    <x v="2"/>
  </r>
  <r>
    <d v="2023-02-26T00:00:00"/>
    <s v="Male"/>
    <n v="20"/>
    <s v="Clothing"/>
    <n v="2"/>
    <n v="25"/>
    <n v="50"/>
    <x v="1"/>
  </r>
  <r>
    <d v="2023-03-20T00:00:00"/>
    <s v="Male"/>
    <n v="44"/>
    <s v="Electronics"/>
    <n v="2"/>
    <n v="300"/>
    <n v="600"/>
    <x v="5"/>
  </r>
  <r>
    <d v="2023-11-18T00:00:00"/>
    <s v="Male"/>
    <n v="46"/>
    <s v="Beauty"/>
    <n v="2"/>
    <n v="500"/>
    <n v="1000"/>
    <x v="0"/>
  </r>
  <r>
    <d v="2023-03-23T00:00:00"/>
    <s v="Male"/>
    <n v="49"/>
    <s v="Clothing"/>
    <n v="4"/>
    <n v="50"/>
    <n v="200"/>
    <x v="5"/>
  </r>
  <r>
    <d v="2023-12-15T00:00:00"/>
    <s v="Male"/>
    <n v="36"/>
    <s v="Beauty"/>
    <n v="4"/>
    <n v="500"/>
    <n v="2000"/>
    <x v="6"/>
  </r>
  <r>
    <d v="2023-08-05T00:00:00"/>
    <s v="Male"/>
    <n v="38"/>
    <s v="Electronics"/>
    <n v="1"/>
    <n v="30"/>
    <n v="30"/>
    <x v="8"/>
  </r>
  <r>
    <d v="2023-11-02T00:00:00"/>
    <s v="Female"/>
    <n v="22"/>
    <s v="Electronics"/>
    <n v="1"/>
    <n v="50"/>
    <n v="50"/>
    <x v="0"/>
  </r>
  <r>
    <d v="2023-02-02T00:00:00"/>
    <s v="Male"/>
    <n v="35"/>
    <s v="Electronics"/>
    <n v="4"/>
    <n v="300"/>
    <n v="1200"/>
    <x v="1"/>
  </r>
  <r>
    <d v="2023-07-17T00:00:00"/>
    <s v="Female"/>
    <n v="45"/>
    <s v="Clothing"/>
    <n v="1"/>
    <n v="50"/>
    <n v="50"/>
    <x v="11"/>
  </r>
  <r>
    <d v="2023-07-15T00:00:00"/>
    <s v="Female"/>
    <n v="59"/>
    <s v="Beauty"/>
    <n v="3"/>
    <n v="500"/>
    <n v="1500"/>
    <x v="11"/>
  </r>
  <r>
    <d v="2023-11-02T00:00:00"/>
    <s v="Female"/>
    <n v="39"/>
    <s v="Clothing"/>
    <n v="3"/>
    <n v="25"/>
    <n v="75"/>
    <x v="0"/>
  </r>
  <r>
    <d v="2023-08-28T00:00:00"/>
    <s v="Male"/>
    <n v="38"/>
    <s v="Clothing"/>
    <n v="4"/>
    <n v="50"/>
    <n v="200"/>
    <x v="8"/>
  </r>
  <r>
    <d v="2023-09-28T00:00:00"/>
    <s v="Male"/>
    <n v="23"/>
    <s v="Electronics"/>
    <n v="1"/>
    <n v="300"/>
    <n v="300"/>
    <x v="9"/>
  </r>
  <r>
    <d v="2023-05-09T00:00:00"/>
    <s v="Male"/>
    <n v="18"/>
    <s v="Clothing"/>
    <n v="2"/>
    <n v="30"/>
    <n v="60"/>
    <x v="3"/>
  </r>
  <r>
    <d v="2023-10-11T00:00:00"/>
    <s v="Male"/>
    <n v="22"/>
    <s v="Clothing"/>
    <n v="3"/>
    <n v="25"/>
    <n v="75"/>
    <x v="7"/>
  </r>
  <r>
    <d v="2023-01-06T00:00:00"/>
    <s v="Female"/>
    <n v="58"/>
    <s v="Electronics"/>
    <n v="4"/>
    <n v="30"/>
    <n v="120"/>
    <x v="2"/>
  </r>
  <r>
    <d v="2023-12-15T00:00:00"/>
    <s v="Male"/>
    <n v="29"/>
    <s v="Clothing"/>
    <n v="1"/>
    <n v="50"/>
    <n v="50"/>
    <x v="6"/>
  </r>
  <r>
    <d v="2023-02-28T00:00:00"/>
    <s v="Male"/>
    <n v="43"/>
    <s v="Electronics"/>
    <n v="4"/>
    <n v="500"/>
    <n v="2000"/>
    <x v="1"/>
  </r>
  <r>
    <d v="2023-12-16T00:00:00"/>
    <s v="Male"/>
    <n v="63"/>
    <s v="Electronics"/>
    <n v="2"/>
    <n v="500"/>
    <n v="1000"/>
    <x v="6"/>
  </r>
  <r>
    <d v="2023-10-02T00:00:00"/>
    <s v="Male"/>
    <n v="51"/>
    <s v="Electronics"/>
    <n v="3"/>
    <n v="300"/>
    <n v="900"/>
    <x v="7"/>
  </r>
  <r>
    <d v="2023-05-17T00:00:00"/>
    <s v="Male"/>
    <n v="31"/>
    <s v="Electronics"/>
    <n v="4"/>
    <n v="500"/>
    <n v="2000"/>
    <x v="3"/>
  </r>
  <r>
    <d v="2023-11-25T00:00:00"/>
    <s v="Female"/>
    <n v="43"/>
    <s v="Clothing"/>
    <n v="4"/>
    <n v="25"/>
    <n v="100"/>
    <x v="0"/>
  </r>
  <r>
    <d v="2023-06-24T00:00:00"/>
    <s v="Male"/>
    <n v="62"/>
    <s v="Electronics"/>
    <n v="4"/>
    <n v="500"/>
    <n v="2000"/>
    <x v="10"/>
  </r>
  <r>
    <d v="2023-02-27T00:00:00"/>
    <s v="Female"/>
    <n v="44"/>
    <s v="Electronics"/>
    <n v="2"/>
    <n v="300"/>
    <n v="600"/>
    <x v="1"/>
  </r>
  <r>
    <d v="2023-05-31T00:00:00"/>
    <s v="Male"/>
    <n v="26"/>
    <s v="Clothing"/>
    <n v="4"/>
    <n v="50"/>
    <n v="200"/>
    <x v="3"/>
  </r>
  <r>
    <d v="2023-08-11T00:00:00"/>
    <s v="Female"/>
    <n v="43"/>
    <s v="Clothing"/>
    <n v="2"/>
    <n v="50"/>
    <n v="100"/>
    <x v="8"/>
  </r>
  <r>
    <d v="2023-03-22T00:00:00"/>
    <s v="Male"/>
    <n v="64"/>
    <s v="Beauty"/>
    <n v="2"/>
    <n v="500"/>
    <n v="1000"/>
    <x v="5"/>
  </r>
  <r>
    <d v="2023-08-21T00:00:00"/>
    <s v="Male"/>
    <n v="39"/>
    <s v="Clothing"/>
    <n v="2"/>
    <n v="30"/>
    <n v="60"/>
    <x v="8"/>
  </r>
  <r>
    <d v="2023-01-02T00:00:00"/>
    <s v="Female"/>
    <n v="64"/>
    <s v="Clothing"/>
    <n v="3"/>
    <n v="50"/>
    <n v="150"/>
    <x v="2"/>
  </r>
  <r>
    <d v="2023-05-15T00:00:00"/>
    <s v="Female"/>
    <n v="47"/>
    <s v="Beauty"/>
    <n v="3"/>
    <n v="500"/>
    <n v="1500"/>
    <x v="3"/>
  </r>
  <r>
    <d v="2023-09-14T00:00:00"/>
    <s v="Female"/>
    <n v="60"/>
    <s v="Clothing"/>
    <n v="4"/>
    <n v="300"/>
    <n v="1200"/>
    <x v="9"/>
  </r>
  <r>
    <d v="2023-04-02T00:00:00"/>
    <s v="Male"/>
    <n v="34"/>
    <s v="Clothing"/>
    <n v="4"/>
    <n v="500"/>
    <n v="2000"/>
    <x v="4"/>
  </r>
  <r>
    <d v="2023-09-17T00:00:00"/>
    <s v="Female"/>
    <n v="43"/>
    <s v="Clothing"/>
    <n v="3"/>
    <n v="50"/>
    <n v="150"/>
    <x v="9"/>
  </r>
  <r>
    <d v="2023-02-24T00:00:00"/>
    <s v="Male"/>
    <n v="53"/>
    <s v="Clothing"/>
    <n v="1"/>
    <n v="300"/>
    <n v="300"/>
    <x v="1"/>
  </r>
  <r>
    <d v="2023-11-17T00:00:00"/>
    <s v="Male"/>
    <n v="18"/>
    <s v="Beauty"/>
    <n v="3"/>
    <n v="500"/>
    <n v="1500"/>
    <x v="0"/>
  </r>
  <r>
    <d v="2023-06-02T00:00:00"/>
    <s v="Female"/>
    <n v="25"/>
    <s v="Clothing"/>
    <n v="2"/>
    <n v="25"/>
    <n v="50"/>
    <x v="10"/>
  </r>
  <r>
    <d v="2023-11-24T00:00:00"/>
    <s v="Female"/>
    <n v="52"/>
    <s v="Clothing"/>
    <n v="3"/>
    <n v="300"/>
    <n v="900"/>
    <x v="0"/>
  </r>
  <r>
    <d v="2023-09-17T00:00:00"/>
    <s v="Male"/>
    <n v="32"/>
    <s v="Beauty"/>
    <n v="2"/>
    <n v="25"/>
    <n v="50"/>
    <x v="9"/>
  </r>
  <r>
    <d v="2023-11-08T00:00:00"/>
    <s v="Male"/>
    <n v="64"/>
    <s v="Electronics"/>
    <n v="4"/>
    <n v="30"/>
    <n v="120"/>
    <x v="0"/>
  </r>
  <r>
    <d v="2023-04-12T00:00:00"/>
    <s v="Female"/>
    <n v="39"/>
    <s v="Beauty"/>
    <n v="1"/>
    <n v="300"/>
    <n v="300"/>
    <x v="4"/>
  </r>
  <r>
    <d v="2023-03-20T00:00:00"/>
    <s v="Female"/>
    <n v="31"/>
    <s v="Electronics"/>
    <n v="4"/>
    <n v="25"/>
    <n v="100"/>
    <x v="5"/>
  </r>
  <r>
    <d v="2023-07-11T00:00:00"/>
    <s v="Female"/>
    <n v="43"/>
    <s v="Beauty"/>
    <n v="2"/>
    <n v="50"/>
    <n v="100"/>
    <x v="11"/>
  </r>
  <r>
    <d v="2023-03-24T00:00:00"/>
    <s v="Male"/>
    <n v="45"/>
    <s v="Beauty"/>
    <n v="2"/>
    <n v="50"/>
    <n v="100"/>
    <x v="5"/>
  </r>
  <r>
    <d v="2023-10-04T00:00:00"/>
    <s v="Male"/>
    <n v="40"/>
    <s v="Clothing"/>
    <n v="2"/>
    <n v="30"/>
    <n v="60"/>
    <x v="7"/>
  </r>
  <r>
    <d v="2023-09-29T00:00:00"/>
    <s v="Male"/>
    <n v="31"/>
    <s v="Electronics"/>
    <n v="1"/>
    <n v="300"/>
    <n v="300"/>
    <x v="9"/>
  </r>
  <r>
    <d v="2023-01-01T00:00:00"/>
    <s v="Male"/>
    <n v="41"/>
    <s v="Clothing"/>
    <n v="3"/>
    <n v="300"/>
    <n v="900"/>
    <x v="2"/>
  </r>
  <r>
    <d v="2023-11-03T00:00:00"/>
    <s v="Male"/>
    <n v="19"/>
    <s v="Electronics"/>
    <n v="4"/>
    <n v="300"/>
    <n v="1200"/>
    <x v="0"/>
  </r>
  <r>
    <d v="2023-06-15T00:00:00"/>
    <s v="Male"/>
    <n v="62"/>
    <s v="Beauty"/>
    <n v="4"/>
    <n v="30"/>
    <n v="120"/>
    <x v="10"/>
  </r>
  <r>
    <d v="2023-09-08T00:00:00"/>
    <s v="Female"/>
    <n v="43"/>
    <s v="Beauty"/>
    <n v="3"/>
    <n v="300"/>
    <n v="900"/>
    <x v="9"/>
  </r>
  <r>
    <d v="2023-01-10T00:00:00"/>
    <s v="Male"/>
    <n v="31"/>
    <s v="Electronics"/>
    <n v="4"/>
    <n v="50"/>
    <n v="200"/>
    <x v="2"/>
  </r>
  <r>
    <d v="2023-02-27T00:00:00"/>
    <s v="Male"/>
    <n v="24"/>
    <s v="Clothing"/>
    <n v="1"/>
    <n v="25"/>
    <n v="25"/>
    <x v="1"/>
  </r>
  <r>
    <d v="2023-07-05T00:00:00"/>
    <s v="Male"/>
    <n v="20"/>
    <s v="Clothing"/>
    <n v="4"/>
    <n v="50"/>
    <n v="200"/>
    <x v="11"/>
  </r>
  <r>
    <d v="2023-06-07T00:00:00"/>
    <s v="Female"/>
    <n v="64"/>
    <s v="Clothing"/>
    <n v="2"/>
    <n v="50"/>
    <n v="100"/>
    <x v="10"/>
  </r>
  <r>
    <d v="2023-05-03T00:00:00"/>
    <s v="Male"/>
    <n v="40"/>
    <s v="Clothing"/>
    <n v="3"/>
    <n v="25"/>
    <n v="75"/>
    <x v="3"/>
  </r>
  <r>
    <d v="2023-01-30T00:00:00"/>
    <s v="Male"/>
    <n v="63"/>
    <s v="Beauty"/>
    <n v="1"/>
    <n v="50"/>
    <n v="50"/>
    <x v="2"/>
  </r>
  <r>
    <d v="2023-05-04T00:00:00"/>
    <s v="Female"/>
    <n v="60"/>
    <s v="Beauty"/>
    <n v="3"/>
    <n v="30"/>
    <n v="90"/>
    <x v="3"/>
  </r>
  <r>
    <d v="2023-10-18T00:00:00"/>
    <s v="Male"/>
    <n v="64"/>
    <s v="Beauty"/>
    <n v="1"/>
    <n v="25"/>
    <n v="25"/>
    <x v="7"/>
  </r>
  <r>
    <d v="2023-02-10T00:00:00"/>
    <s v="Male"/>
    <n v="62"/>
    <s v="Beauty"/>
    <n v="2"/>
    <n v="50"/>
    <n v="100"/>
    <x v="1"/>
  </r>
  <r>
    <d v="2023-02-13T00:00:00"/>
    <s v="Male"/>
    <n v="35"/>
    <s v="Beauty"/>
    <n v="3"/>
    <n v="500"/>
    <n v="1500"/>
    <x v="1"/>
  </r>
  <r>
    <d v="2023-09-06T00:00:00"/>
    <s v="Male"/>
    <n v="55"/>
    <s v="Clothing"/>
    <n v="4"/>
    <n v="50"/>
    <n v="200"/>
    <x v="9"/>
  </r>
  <r>
    <d v="2023-02-05T00:00:00"/>
    <s v="Male"/>
    <n v="52"/>
    <s v="Clothing"/>
    <n v="1"/>
    <n v="30"/>
    <n v="30"/>
    <x v="1"/>
  </r>
  <r>
    <d v="2023-09-30T00:00:00"/>
    <s v="Female"/>
    <n v="32"/>
    <s v="Clothing"/>
    <n v="3"/>
    <n v="300"/>
    <n v="900"/>
    <x v="9"/>
  </r>
  <r>
    <d v="2023-03-06T00:00:00"/>
    <s v="Female"/>
    <n v="42"/>
    <s v="Clothing"/>
    <n v="4"/>
    <n v="50"/>
    <n v="200"/>
    <x v="5"/>
  </r>
  <r>
    <d v="2023-03-07T00:00:00"/>
    <s v="Female"/>
    <n v="54"/>
    <s v="Beauty"/>
    <n v="3"/>
    <n v="300"/>
    <n v="900"/>
    <x v="5"/>
  </r>
  <r>
    <d v="2023-12-04T00:00:00"/>
    <s v="Male"/>
    <n v="45"/>
    <s v="Beauty"/>
    <n v="3"/>
    <n v="500"/>
    <n v="1500"/>
    <x v="6"/>
  </r>
  <r>
    <d v="2023-09-01T00:00:00"/>
    <s v="Male"/>
    <n v="27"/>
    <s v="Beauty"/>
    <n v="3"/>
    <n v="50"/>
    <n v="150"/>
    <x v="9"/>
  </r>
  <r>
    <d v="2023-10-09T00:00:00"/>
    <s v="Male"/>
    <n v="56"/>
    <s v="Electronics"/>
    <n v="1"/>
    <n v="25"/>
    <n v="25"/>
    <x v="7"/>
  </r>
  <r>
    <d v="2023-03-26T00:00:00"/>
    <s v="Female"/>
    <n v="34"/>
    <s v="Clothing"/>
    <n v="4"/>
    <n v="300"/>
    <n v="1200"/>
    <x v="5"/>
  </r>
  <r>
    <d v="2023-05-16T00:00:00"/>
    <s v="Male"/>
    <n v="56"/>
    <s v="Clothing"/>
    <n v="2"/>
    <n v="500"/>
    <n v="1000"/>
    <x v="3"/>
  </r>
  <r>
    <d v="2023-09-28T00:00:00"/>
    <s v="Male"/>
    <n v="39"/>
    <s v="Beauty"/>
    <n v="1"/>
    <n v="25"/>
    <n v="25"/>
    <x v="9"/>
  </r>
  <r>
    <d v="2023-11-07T00:00:00"/>
    <s v="Female"/>
    <n v="43"/>
    <s v="Clothing"/>
    <n v="1"/>
    <n v="25"/>
    <n v="25"/>
    <x v="0"/>
  </r>
  <r>
    <d v="2023-08-05T00:00:00"/>
    <s v="Male"/>
    <n v="61"/>
    <s v="Clothing"/>
    <n v="1"/>
    <n v="25"/>
    <n v="25"/>
    <x v="8"/>
  </r>
  <r>
    <d v="2023-04-19T00:00:00"/>
    <s v="Female"/>
    <n v="42"/>
    <s v="Beauty"/>
    <n v="2"/>
    <n v="25"/>
    <n v="50"/>
    <x v="4"/>
  </r>
  <r>
    <d v="2023-10-04T00:00:00"/>
    <s v="Female"/>
    <n v="34"/>
    <s v="Electronics"/>
    <n v="4"/>
    <n v="50"/>
    <n v="200"/>
    <x v="7"/>
  </r>
  <r>
    <d v="2023-12-20T00:00:00"/>
    <s v="Female"/>
    <n v="30"/>
    <s v="Electronics"/>
    <n v="4"/>
    <n v="50"/>
    <n v="200"/>
    <x v="6"/>
  </r>
  <r>
    <d v="2023-04-13T00:00:00"/>
    <s v="Male"/>
    <n v="37"/>
    <s v="Electronics"/>
    <n v="4"/>
    <n v="50"/>
    <n v="200"/>
    <x v="4"/>
  </r>
  <r>
    <d v="2024-01-01T00:00:00"/>
    <s v="Male"/>
    <n v="42"/>
    <s v="Beauty"/>
    <n v="3"/>
    <n v="500"/>
    <n v="1500"/>
    <x v="12"/>
  </r>
  <r>
    <d v="2023-06-09T00:00:00"/>
    <s v="Male"/>
    <n v="21"/>
    <s v="Clothing"/>
    <n v="3"/>
    <n v="500"/>
    <n v="1500"/>
    <x v="10"/>
  </r>
  <r>
    <d v="2023-07-24T00:00:00"/>
    <s v="Male"/>
    <n v="27"/>
    <s v="Beauty"/>
    <n v="3"/>
    <n v="500"/>
    <n v="1500"/>
    <x v="11"/>
  </r>
  <r>
    <d v="2023-12-10T00:00:00"/>
    <s v="Male"/>
    <n v="20"/>
    <s v="Beauty"/>
    <n v="2"/>
    <n v="30"/>
    <n v="60"/>
    <x v="6"/>
  </r>
  <r>
    <d v="2023-11-29T00:00:00"/>
    <s v="Male"/>
    <n v="58"/>
    <s v="Clothing"/>
    <n v="3"/>
    <n v="500"/>
    <n v="1500"/>
    <x v="0"/>
  </r>
  <r>
    <d v="2023-07-11T00:00:00"/>
    <s v="Male"/>
    <n v="62"/>
    <s v="Electronics"/>
    <n v="2"/>
    <n v="50"/>
    <n v="100"/>
    <x v="11"/>
  </r>
  <r>
    <d v="2023-08-13T00:00:00"/>
    <s v="Female"/>
    <n v="35"/>
    <s v="Electronics"/>
    <n v="4"/>
    <n v="50"/>
    <n v="200"/>
    <x v="8"/>
  </r>
  <r>
    <d v="2023-09-22T00:00:00"/>
    <s v="Male"/>
    <n v="64"/>
    <s v="Beauty"/>
    <n v="3"/>
    <n v="30"/>
    <n v="90"/>
    <x v="9"/>
  </r>
  <r>
    <d v="2023-08-20T00:00:00"/>
    <s v="Female"/>
    <n v="53"/>
    <s v="Electronics"/>
    <n v="3"/>
    <n v="30"/>
    <n v="90"/>
    <x v="8"/>
  </r>
  <r>
    <d v="2023-03-03T00:00:00"/>
    <s v="Male"/>
    <n v="64"/>
    <s v="Beauty"/>
    <n v="1"/>
    <n v="500"/>
    <n v="500"/>
    <x v="5"/>
  </r>
  <r>
    <d v="2023-05-07T00:00:00"/>
    <s v="Male"/>
    <n v="39"/>
    <s v="Beauty"/>
    <n v="2"/>
    <n v="300"/>
    <n v="600"/>
    <x v="3"/>
  </r>
  <r>
    <d v="2023-04-26T00:00:00"/>
    <s v="Male"/>
    <n v="51"/>
    <s v="Clothing"/>
    <n v="4"/>
    <n v="30"/>
    <n v="120"/>
    <x v="4"/>
  </r>
  <r>
    <d v="2023-02-02T00:00:00"/>
    <s v="Female"/>
    <n v="64"/>
    <s v="Clothing"/>
    <n v="1"/>
    <n v="25"/>
    <n v="25"/>
    <x v="1"/>
  </r>
  <r>
    <d v="2023-06-23T00:00:00"/>
    <s v="Female"/>
    <n v="25"/>
    <s v="Clothing"/>
    <n v="1"/>
    <n v="50"/>
    <n v="50"/>
    <x v="10"/>
  </r>
  <r>
    <d v="2023-01-11T00:00:00"/>
    <s v="Female"/>
    <n v="57"/>
    <s v="Beauty"/>
    <n v="4"/>
    <n v="25"/>
    <n v="100"/>
    <x v="2"/>
  </r>
  <r>
    <d v="2023-10-29T00:00:00"/>
    <s v="Female"/>
    <n v="61"/>
    <s v="Clothing"/>
    <n v="1"/>
    <n v="50"/>
    <n v="50"/>
    <x v="7"/>
  </r>
  <r>
    <d v="2023-10-11T00:00:00"/>
    <s v="Male"/>
    <n v="36"/>
    <s v="Electronics"/>
    <n v="2"/>
    <n v="50"/>
    <n v="100"/>
    <x v="7"/>
  </r>
  <r>
    <d v="2023-04-28T00:00:00"/>
    <s v="Female"/>
    <n v="59"/>
    <s v="Electronics"/>
    <n v="2"/>
    <n v="30"/>
    <n v="60"/>
    <x v="4"/>
  </r>
  <r>
    <d v="2023-10-29T00:00:00"/>
    <s v="Male"/>
    <n v="58"/>
    <s v="Beauty"/>
    <n v="3"/>
    <n v="30"/>
    <n v="90"/>
    <x v="7"/>
  </r>
  <r>
    <d v="2023-04-23T00:00:00"/>
    <s v="Male"/>
    <n v="54"/>
    <s v="Beauty"/>
    <n v="1"/>
    <n v="25"/>
    <n v="25"/>
    <x v="4"/>
  </r>
  <r>
    <d v="2023-01-04T00:00:00"/>
    <s v="Female"/>
    <n v="23"/>
    <s v="Clothing"/>
    <n v="3"/>
    <n v="50"/>
    <n v="150"/>
    <x v="2"/>
  </r>
  <r>
    <d v="2023-02-06T00:00:00"/>
    <s v="Female"/>
    <n v="43"/>
    <s v="Beauty"/>
    <n v="1"/>
    <n v="25"/>
    <n v="25"/>
    <x v="1"/>
  </r>
  <r>
    <d v="2023-12-29T00:00:00"/>
    <s v="Female"/>
    <n v="51"/>
    <s v="Beauty"/>
    <n v="2"/>
    <n v="300"/>
    <n v="600"/>
    <x v="6"/>
  </r>
  <r>
    <d v="2023-11-20T00:00:00"/>
    <s v="Female"/>
    <n v="62"/>
    <s v="Electronics"/>
    <n v="2"/>
    <n v="25"/>
    <n v="50"/>
    <x v="0"/>
  </r>
  <r>
    <d v="2023-01-31T00:00:00"/>
    <s v="Female"/>
    <n v="23"/>
    <s v="Electronics"/>
    <n v="2"/>
    <n v="500"/>
    <n v="1000"/>
    <x v="2"/>
  </r>
  <r>
    <d v="2023-04-28T00:00:00"/>
    <s v="Female"/>
    <n v="54"/>
    <s v="Clothing"/>
    <n v="1"/>
    <n v="25"/>
    <n v="25"/>
    <x v="4"/>
  </r>
  <r>
    <d v="2023-02-04T00:00:00"/>
    <s v="Female"/>
    <n v="50"/>
    <s v="Beauty"/>
    <n v="2"/>
    <n v="500"/>
    <n v="1000"/>
    <x v="1"/>
  </r>
  <r>
    <d v="2023-01-17T00:00:00"/>
    <s v="Female"/>
    <n v="39"/>
    <s v="Beauty"/>
    <n v="1"/>
    <n v="500"/>
    <n v="500"/>
    <x v="2"/>
  </r>
  <r>
    <d v="2023-06-19T00:00:00"/>
    <s v="Male"/>
    <n v="38"/>
    <s v="Electronics"/>
    <n v="3"/>
    <n v="500"/>
    <n v="1500"/>
    <x v="10"/>
  </r>
  <r>
    <d v="2023-02-06T00:00:00"/>
    <s v="Female"/>
    <n v="23"/>
    <s v="Beauty"/>
    <n v="1"/>
    <n v="300"/>
    <n v="300"/>
    <x v="1"/>
  </r>
  <r>
    <d v="2023-09-21T00:00:00"/>
    <s v="Female"/>
    <n v="23"/>
    <s v="Electronics"/>
    <n v="3"/>
    <n v="25"/>
    <n v="75"/>
    <x v="9"/>
  </r>
  <r>
    <d v="2023-05-02T00:00:00"/>
    <s v="Male"/>
    <n v="21"/>
    <s v="Clothing"/>
    <n v="1"/>
    <n v="25"/>
    <n v="25"/>
    <x v="3"/>
  </r>
  <r>
    <d v="2023-05-23T00:00:00"/>
    <s v="Female"/>
    <n v="47"/>
    <s v="Electronics"/>
    <n v="3"/>
    <n v="300"/>
    <n v="900"/>
    <x v="3"/>
  </r>
  <r>
    <d v="2023-12-09T00:00:00"/>
    <s v="Male"/>
    <n v="28"/>
    <s v="Beauty"/>
    <n v="2"/>
    <n v="50"/>
    <n v="100"/>
    <x v="6"/>
  </r>
  <r>
    <d v="2023-09-06T00:00:00"/>
    <s v="Male"/>
    <n v="47"/>
    <s v="Clothing"/>
    <n v="3"/>
    <n v="30"/>
    <n v="90"/>
    <x v="9"/>
  </r>
  <r>
    <d v="2023-04-20T00:00:00"/>
    <s v="Female"/>
    <n v="48"/>
    <s v="Electronics"/>
    <n v="2"/>
    <n v="25"/>
    <n v="50"/>
    <x v="4"/>
  </r>
  <r>
    <d v="2023-10-04T00:00:00"/>
    <s v="Male"/>
    <n v="41"/>
    <s v="Electronics"/>
    <n v="2"/>
    <n v="30"/>
    <n v="60"/>
    <x v="7"/>
  </r>
  <r>
    <d v="2023-03-09T00:00:00"/>
    <s v="Male"/>
    <n v="26"/>
    <s v="Clothing"/>
    <n v="3"/>
    <n v="300"/>
    <n v="900"/>
    <x v="5"/>
  </r>
  <r>
    <d v="2023-10-20T00:00:00"/>
    <s v="Male"/>
    <n v="20"/>
    <s v="Clothing"/>
    <n v="1"/>
    <n v="50"/>
    <n v="50"/>
    <x v="7"/>
  </r>
  <r>
    <d v="2023-10-23T00:00:00"/>
    <s v="Male"/>
    <n v="48"/>
    <s v="Electronics"/>
    <n v="1"/>
    <n v="50"/>
    <n v="50"/>
    <x v="7"/>
  </r>
  <r>
    <d v="2023-08-31T00:00:00"/>
    <s v="Female"/>
    <n v="57"/>
    <s v="Beauty"/>
    <n v="4"/>
    <n v="50"/>
    <n v="200"/>
    <x v="8"/>
  </r>
  <r>
    <d v="2023-05-05T00:00:00"/>
    <s v="Male"/>
    <n v="54"/>
    <s v="Electronics"/>
    <n v="1"/>
    <n v="300"/>
    <n v="300"/>
    <x v="3"/>
  </r>
  <r>
    <d v="2023-08-31T00:00:00"/>
    <s v="Female"/>
    <n v="53"/>
    <s v="Clothing"/>
    <n v="4"/>
    <n v="500"/>
    <n v="2000"/>
    <x v="8"/>
  </r>
  <r>
    <d v="2023-07-28T00:00:00"/>
    <s v="Male"/>
    <n v="41"/>
    <s v="Electronics"/>
    <n v="1"/>
    <n v="500"/>
    <n v="500"/>
    <x v="11"/>
  </r>
  <r>
    <d v="2023-04-08T00:00:00"/>
    <s v="Male"/>
    <n v="48"/>
    <s v="Clothing"/>
    <n v="1"/>
    <n v="30"/>
    <n v="30"/>
    <x v="4"/>
  </r>
  <r>
    <d v="2023-02-18T00:00:00"/>
    <s v="Male"/>
    <n v="23"/>
    <s v="Clothing"/>
    <n v="2"/>
    <n v="500"/>
    <n v="1000"/>
    <x v="1"/>
  </r>
  <r>
    <d v="2023-02-19T00:00:00"/>
    <s v="Male"/>
    <n v="19"/>
    <s v="Beauty"/>
    <n v="4"/>
    <n v="500"/>
    <n v="2000"/>
    <x v="1"/>
  </r>
  <r>
    <d v="2023-12-04T00:00:00"/>
    <s v="Female"/>
    <n v="37"/>
    <s v="Clothing"/>
    <n v="1"/>
    <n v="50"/>
    <n v="50"/>
    <x v="6"/>
  </r>
  <r>
    <d v="2023-08-09T00:00:00"/>
    <s v="Female"/>
    <n v="45"/>
    <s v="Clothing"/>
    <n v="4"/>
    <n v="50"/>
    <n v="200"/>
    <x v="8"/>
  </r>
  <r>
    <d v="2023-07-01T00:00:00"/>
    <s v="Male"/>
    <n v="28"/>
    <s v="Beauty"/>
    <n v="2"/>
    <n v="30"/>
    <n v="60"/>
    <x v="11"/>
  </r>
  <r>
    <d v="2023-08-05T00:00:00"/>
    <s v="Male"/>
    <n v="21"/>
    <s v="Clothing"/>
    <n v="2"/>
    <n v="25"/>
    <n v="50"/>
    <x v="8"/>
  </r>
  <r>
    <d v="2023-07-30T00:00:00"/>
    <s v="Female"/>
    <n v="32"/>
    <s v="Beauty"/>
    <n v="4"/>
    <n v="30"/>
    <n v="120"/>
    <x v="11"/>
  </r>
  <r>
    <d v="2023-08-28T00:00:00"/>
    <s v="Male"/>
    <n v="23"/>
    <s v="Beauty"/>
    <n v="2"/>
    <n v="30"/>
    <n v="60"/>
    <x v="8"/>
  </r>
  <r>
    <d v="2023-01-28T00:00:00"/>
    <s v="Male"/>
    <n v="47"/>
    <s v="Clothing"/>
    <n v="3"/>
    <n v="300"/>
    <n v="900"/>
    <x v="2"/>
  </r>
  <r>
    <d v="2023-12-11T00:00:00"/>
    <s v="Male"/>
    <n v="55"/>
    <s v="Clothing"/>
    <n v="3"/>
    <n v="300"/>
    <n v="900"/>
    <x v="6"/>
  </r>
  <r>
    <d v="2023-12-01T00:00:00"/>
    <s v="Female"/>
    <n v="19"/>
    <s v="Electronics"/>
    <n v="2"/>
    <n v="30"/>
    <n v="60"/>
    <x v="6"/>
  </r>
  <r>
    <d v="2023-11-27T00:00:00"/>
    <s v="Female"/>
    <n v="32"/>
    <s v="Beauty"/>
    <n v="3"/>
    <n v="30"/>
    <n v="90"/>
    <x v="0"/>
  </r>
  <r>
    <d v="2023-02-20T00:00:00"/>
    <s v="Female"/>
    <n v="28"/>
    <s v="Electronics"/>
    <n v="1"/>
    <n v="30"/>
    <n v="30"/>
    <x v="1"/>
  </r>
  <r>
    <d v="2023-02-01T00:00:00"/>
    <s v="Male"/>
    <n v="25"/>
    <s v="Clothing"/>
    <n v="4"/>
    <n v="500"/>
    <n v="2000"/>
    <x v="1"/>
  </r>
  <r>
    <d v="2023-07-26T00:00:00"/>
    <s v="Male"/>
    <n v="43"/>
    <s v="Electronics"/>
    <n v="1"/>
    <n v="300"/>
    <n v="300"/>
    <x v="11"/>
  </r>
  <r>
    <d v="2023-06-23T00:00:00"/>
    <s v="Female"/>
    <n v="62"/>
    <s v="Beauty"/>
    <n v="4"/>
    <n v="30"/>
    <n v="120"/>
    <x v="10"/>
  </r>
  <r>
    <d v="2023-02-25T00:00:00"/>
    <s v="Female"/>
    <n v="61"/>
    <s v="Electronics"/>
    <n v="2"/>
    <n v="50"/>
    <n v="100"/>
    <x v="1"/>
  </r>
  <r>
    <d v="2023-05-08T00:00:00"/>
    <s v="Female"/>
    <n v="22"/>
    <s v="Beauty"/>
    <n v="1"/>
    <n v="50"/>
    <n v="50"/>
    <x v="3"/>
  </r>
  <r>
    <d v="2023-04-09T00:00:00"/>
    <s v="Female"/>
    <n v="23"/>
    <s v="Clothing"/>
    <n v="2"/>
    <n v="500"/>
    <n v="1000"/>
    <x v="4"/>
  </r>
  <r>
    <d v="2023-04-08T00:00:00"/>
    <s v="Male"/>
    <n v="43"/>
    <s v="Clothing"/>
    <n v="2"/>
    <n v="500"/>
    <n v="1000"/>
    <x v="4"/>
  </r>
  <r>
    <d v="2023-10-02T00:00:00"/>
    <s v="Female"/>
    <n v="21"/>
    <s v="Beauty"/>
    <n v="4"/>
    <n v="25"/>
    <n v="100"/>
    <x v="7"/>
  </r>
  <r>
    <d v="2023-08-18T00:00:00"/>
    <s v="Male"/>
    <n v="36"/>
    <s v="Clothing"/>
    <n v="4"/>
    <n v="25"/>
    <n v="100"/>
    <x v="8"/>
  </r>
  <r>
    <d v="2023-03-13T00:00:00"/>
    <s v="Female"/>
    <n v="37"/>
    <s v="Clothing"/>
    <n v="4"/>
    <n v="25"/>
    <n v="100"/>
    <x v="5"/>
  </r>
  <r>
    <d v="2023-08-05T00:00:00"/>
    <s v="Male"/>
    <n v="50"/>
    <s v="Clothing"/>
    <n v="1"/>
    <n v="500"/>
    <n v="500"/>
    <x v="8"/>
  </r>
  <r>
    <d v="2023-04-04T00:00:00"/>
    <s v="Female"/>
    <n v="37"/>
    <s v="Clothing"/>
    <n v="3"/>
    <n v="500"/>
    <n v="1500"/>
    <x v="4"/>
  </r>
  <r>
    <d v="2023-05-23T00:00:00"/>
    <s v="Female"/>
    <n v="29"/>
    <s v="Beauty"/>
    <n v="4"/>
    <n v="500"/>
    <n v="2000"/>
    <x v="3"/>
  </r>
  <r>
    <d v="2023-08-25T00:00:00"/>
    <s v="Female"/>
    <n v="64"/>
    <s v="Electronics"/>
    <n v="4"/>
    <n v="50"/>
    <n v="200"/>
    <x v="8"/>
  </r>
  <r>
    <d v="2023-05-08T00:00:00"/>
    <s v="Female"/>
    <n v="18"/>
    <s v="Electronics"/>
    <n v="1"/>
    <n v="500"/>
    <n v="500"/>
    <x v="3"/>
  </r>
  <r>
    <d v="2023-02-08T00:00:00"/>
    <s v="Male"/>
    <n v="43"/>
    <s v="Clothing"/>
    <n v="4"/>
    <n v="50"/>
    <n v="200"/>
    <x v="1"/>
  </r>
  <r>
    <d v="2023-08-15T00:00:00"/>
    <s v="Female"/>
    <n v="31"/>
    <s v="Electronics"/>
    <n v="1"/>
    <n v="25"/>
    <n v="25"/>
    <x v="8"/>
  </r>
  <r>
    <d v="2023-10-09T00:00:00"/>
    <s v="Male"/>
    <n v="55"/>
    <s v="Electronics"/>
    <n v="2"/>
    <n v="25"/>
    <n v="50"/>
    <x v="7"/>
  </r>
  <r>
    <d v="2023-02-20T00:00:00"/>
    <s v="Male"/>
    <n v="54"/>
    <s v="Clothing"/>
    <n v="4"/>
    <n v="25"/>
    <n v="100"/>
    <x v="1"/>
  </r>
  <r>
    <d v="2023-01-26T00:00:00"/>
    <s v="Male"/>
    <n v="28"/>
    <s v="Clothing"/>
    <n v="4"/>
    <n v="30"/>
    <n v="120"/>
    <x v="2"/>
  </r>
  <r>
    <d v="2023-11-30T00:00:00"/>
    <s v="Male"/>
    <n v="53"/>
    <s v="Electronics"/>
    <n v="2"/>
    <n v="30"/>
    <n v="60"/>
    <x v="0"/>
  </r>
  <r>
    <d v="2023-10-04T00:00:00"/>
    <s v="Female"/>
    <n v="30"/>
    <s v="Beauty"/>
    <n v="2"/>
    <n v="300"/>
    <n v="600"/>
    <x v="7"/>
  </r>
  <r>
    <d v="2023-01-08T00:00:00"/>
    <s v="Male"/>
    <n v="60"/>
    <s v="Clothing"/>
    <n v="2"/>
    <n v="300"/>
    <n v="600"/>
    <x v="2"/>
  </r>
  <r>
    <d v="2023-02-17T00:00:00"/>
    <s v="Male"/>
    <n v="20"/>
    <s v="Beauty"/>
    <n v="4"/>
    <n v="300"/>
    <n v="1200"/>
    <x v="1"/>
  </r>
  <r>
    <d v="2023-05-02T00:00:00"/>
    <s v="Male"/>
    <n v="50"/>
    <s v="Electronics"/>
    <n v="3"/>
    <n v="30"/>
    <n v="90"/>
    <x v="3"/>
  </r>
  <r>
    <d v="2023-03-27T00:00:00"/>
    <s v="Female"/>
    <n v="23"/>
    <s v="Clothing"/>
    <n v="3"/>
    <n v="30"/>
    <n v="90"/>
    <x v="5"/>
  </r>
  <r>
    <d v="2023-07-28T00:00:00"/>
    <s v="Female"/>
    <n v="27"/>
    <s v="Beauty"/>
    <n v="3"/>
    <n v="300"/>
    <n v="900"/>
    <x v="11"/>
  </r>
  <r>
    <d v="2023-09-06T00:00:00"/>
    <s v="Female"/>
    <n v="22"/>
    <s v="Clothing"/>
    <n v="4"/>
    <n v="300"/>
    <n v="1200"/>
    <x v="9"/>
  </r>
  <r>
    <d v="2023-09-04T00:00:00"/>
    <s v="Female"/>
    <n v="40"/>
    <s v="Electronics"/>
    <n v="2"/>
    <n v="500"/>
    <n v="1000"/>
    <x v="9"/>
  </r>
  <r>
    <d v="2023-04-20T00:00:00"/>
    <s v="Male"/>
    <n v="27"/>
    <s v="Beauty"/>
    <n v="4"/>
    <n v="300"/>
    <n v="1200"/>
    <x v="4"/>
  </r>
  <r>
    <d v="2023-07-25T00:00:00"/>
    <s v="Male"/>
    <n v="61"/>
    <s v="Electronics"/>
    <n v="2"/>
    <n v="500"/>
    <n v="1000"/>
    <x v="11"/>
  </r>
  <r>
    <d v="2023-01-31T00:00:00"/>
    <s v="Female"/>
    <n v="19"/>
    <s v="Electronics"/>
    <n v="4"/>
    <n v="50"/>
    <n v="200"/>
    <x v="2"/>
  </r>
  <r>
    <d v="2023-03-26T00:00:00"/>
    <s v="Male"/>
    <n v="30"/>
    <s v="Clothing"/>
    <n v="4"/>
    <n v="30"/>
    <n v="120"/>
    <x v="5"/>
  </r>
  <r>
    <d v="2023-07-14T00:00:00"/>
    <s v="Male"/>
    <n v="57"/>
    <s v="Beauty"/>
    <n v="2"/>
    <n v="300"/>
    <n v="600"/>
    <x v="11"/>
  </r>
  <r>
    <d v="2023-01-02T00:00:00"/>
    <s v="Male"/>
    <n v="19"/>
    <s v="Electronics"/>
    <n v="3"/>
    <n v="30"/>
    <n v="90"/>
    <x v="2"/>
  </r>
  <r>
    <d v="2023-07-19T00:00:00"/>
    <s v="Female"/>
    <n v="37"/>
    <s v="Electronics"/>
    <n v="2"/>
    <n v="30"/>
    <n v="60"/>
    <x v="11"/>
  </r>
  <r>
    <d v="2023-05-16T00:00:00"/>
    <s v="Female"/>
    <n v="18"/>
    <s v="Beauty"/>
    <n v="1"/>
    <n v="30"/>
    <n v="30"/>
    <x v="3"/>
  </r>
  <r>
    <d v="2023-08-21T00:00:00"/>
    <s v="Male"/>
    <n v="54"/>
    <s v="Electronics"/>
    <n v="1"/>
    <n v="50"/>
    <n v="50"/>
    <x v="8"/>
  </r>
  <r>
    <d v="2023-05-27T00:00:00"/>
    <s v="Female"/>
    <n v="26"/>
    <s v="Electronics"/>
    <n v="2"/>
    <n v="25"/>
    <n v="50"/>
    <x v="3"/>
  </r>
  <r>
    <d v="2023-08-05T00:00:00"/>
    <s v="Female"/>
    <n v="34"/>
    <s v="Beauty"/>
    <n v="4"/>
    <n v="300"/>
    <n v="1200"/>
    <x v="8"/>
  </r>
  <r>
    <d v="2023-12-23T00:00:00"/>
    <s v="Female"/>
    <n v="26"/>
    <s v="Beauty"/>
    <n v="1"/>
    <n v="25"/>
    <n v="25"/>
    <x v="6"/>
  </r>
  <r>
    <d v="2023-10-12T00:00:00"/>
    <s v="Female"/>
    <n v="28"/>
    <s v="Beauty"/>
    <n v="1"/>
    <n v="25"/>
    <n v="25"/>
    <x v="7"/>
  </r>
  <r>
    <d v="2023-12-05T00:00:00"/>
    <s v="Female"/>
    <n v="32"/>
    <s v="Beauty"/>
    <n v="4"/>
    <n v="25"/>
    <n v="100"/>
    <x v="6"/>
  </r>
  <r>
    <d v="2023-09-07T00:00:00"/>
    <s v="Male"/>
    <n v="41"/>
    <s v="Clothing"/>
    <n v="4"/>
    <n v="30"/>
    <n v="120"/>
    <x v="9"/>
  </r>
  <r>
    <d v="2023-03-21T00:00:00"/>
    <s v="Female"/>
    <n v="55"/>
    <s v="Beauty"/>
    <n v="3"/>
    <n v="500"/>
    <n v="1500"/>
    <x v="5"/>
  </r>
  <r>
    <d v="2023-04-08T00:00:00"/>
    <s v="Male"/>
    <n v="52"/>
    <s v="Clothing"/>
    <n v="4"/>
    <n v="30"/>
    <n v="120"/>
    <x v="4"/>
  </r>
  <r>
    <d v="2023-06-01T00:00:00"/>
    <s v="Male"/>
    <n v="47"/>
    <s v="Clothing"/>
    <n v="2"/>
    <n v="30"/>
    <n v="60"/>
    <x v="10"/>
  </r>
  <r>
    <d v="2023-04-22T00:00:00"/>
    <s v="Female"/>
    <n v="48"/>
    <s v="Clothing"/>
    <n v="2"/>
    <n v="25"/>
    <n v="50"/>
    <x v="4"/>
  </r>
  <r>
    <d v="2023-01-30T00:00:00"/>
    <s v="Male"/>
    <n v="22"/>
    <s v="Electronics"/>
    <n v="3"/>
    <n v="30"/>
    <n v="90"/>
    <x v="2"/>
  </r>
  <r>
    <d v="2023-10-24T00:00:00"/>
    <s v="Male"/>
    <n v="61"/>
    <s v="Clothing"/>
    <n v="1"/>
    <n v="25"/>
    <n v="25"/>
    <x v="7"/>
  </r>
  <r>
    <d v="2023-10-05T00:00:00"/>
    <s v="Male"/>
    <n v="31"/>
    <s v="Clothing"/>
    <n v="1"/>
    <n v="500"/>
    <n v="500"/>
    <x v="7"/>
  </r>
  <r>
    <d v="2023-02-01T00:00:00"/>
    <s v="Female"/>
    <n v="28"/>
    <s v="Electronics"/>
    <n v="4"/>
    <n v="300"/>
    <n v="1200"/>
    <x v="1"/>
  </r>
  <r>
    <d v="2023-06-10T00:00:00"/>
    <s v="Female"/>
    <n v="26"/>
    <s v="Electronics"/>
    <n v="2"/>
    <n v="25"/>
    <n v="50"/>
    <x v="10"/>
  </r>
  <r>
    <d v="2023-01-30T00:00:00"/>
    <s v="Male"/>
    <n v="51"/>
    <s v="Electronics"/>
    <n v="1"/>
    <n v="500"/>
    <n v="500"/>
    <x v="2"/>
  </r>
  <r>
    <d v="2023-01-26T00:00:00"/>
    <s v="Female"/>
    <n v="29"/>
    <s v="Beauty"/>
    <n v="3"/>
    <n v="300"/>
    <n v="900"/>
    <x v="2"/>
  </r>
  <r>
    <d v="2023-10-27T00:00:00"/>
    <s v="Female"/>
    <n v="52"/>
    <s v="Electronics"/>
    <n v="3"/>
    <n v="50"/>
    <n v="150"/>
    <x v="7"/>
  </r>
  <r>
    <d v="2023-09-02T00:00:00"/>
    <s v="Female"/>
    <n v="52"/>
    <s v="Electronics"/>
    <n v="2"/>
    <n v="25"/>
    <n v="50"/>
    <x v="9"/>
  </r>
  <r>
    <d v="2023-09-15T00:00:00"/>
    <s v="Female"/>
    <n v="18"/>
    <s v="Clothing"/>
    <n v="3"/>
    <n v="25"/>
    <n v="75"/>
    <x v="9"/>
  </r>
  <r>
    <d v="2023-09-29T00:00:00"/>
    <s v="Male"/>
    <n v="57"/>
    <s v="Electronics"/>
    <n v="3"/>
    <n v="50"/>
    <n v="150"/>
    <x v="9"/>
  </r>
  <r>
    <d v="2023-03-22T00:00:00"/>
    <s v="Male"/>
    <n v="39"/>
    <s v="Beauty"/>
    <n v="2"/>
    <n v="50"/>
    <n v="100"/>
    <x v="5"/>
  </r>
  <r>
    <d v="2023-01-30T00:00:00"/>
    <s v="Female"/>
    <n v="46"/>
    <s v="Electronics"/>
    <n v="4"/>
    <n v="25"/>
    <n v="100"/>
    <x v="2"/>
  </r>
  <r>
    <d v="2023-09-18T00:00:00"/>
    <s v="Female"/>
    <n v="25"/>
    <s v="Beauty"/>
    <n v="4"/>
    <n v="50"/>
    <n v="200"/>
    <x v="9"/>
  </r>
  <r>
    <d v="2023-02-11T00:00:00"/>
    <s v="Male"/>
    <n v="28"/>
    <s v="Electronics"/>
    <n v="3"/>
    <n v="30"/>
    <n v="90"/>
    <x v="1"/>
  </r>
  <r>
    <d v="2023-04-06T00:00:00"/>
    <s v="Male"/>
    <n v="58"/>
    <s v="Electronics"/>
    <n v="4"/>
    <n v="300"/>
    <n v="1200"/>
    <x v="4"/>
  </r>
  <r>
    <d v="2023-02-05T00:00:00"/>
    <s v="Female"/>
    <n v="54"/>
    <s v="Electronics"/>
    <n v="4"/>
    <n v="300"/>
    <n v="1200"/>
    <x v="1"/>
  </r>
  <r>
    <d v="2023-11-01T00:00:00"/>
    <s v="Male"/>
    <n v="31"/>
    <s v="Electronics"/>
    <n v="3"/>
    <n v="300"/>
    <n v="900"/>
    <x v="0"/>
  </r>
  <r>
    <d v="2023-02-04T00:00:00"/>
    <s v="Female"/>
    <n v="47"/>
    <s v="Beauty"/>
    <n v="4"/>
    <n v="30"/>
    <n v="120"/>
    <x v="1"/>
  </r>
  <r>
    <d v="2023-12-12T00:00:00"/>
    <s v="Female"/>
    <n v="52"/>
    <s v="Beauty"/>
    <n v="3"/>
    <n v="50"/>
    <n v="150"/>
    <x v="6"/>
  </r>
  <r>
    <d v="2023-05-01T00:00:00"/>
    <s v="Male"/>
    <n v="38"/>
    <s v="Clothing"/>
    <n v="1"/>
    <n v="500"/>
    <n v="500"/>
    <x v="3"/>
  </r>
  <r>
    <d v="2023-07-26T00:00:00"/>
    <s v="Male"/>
    <n v="54"/>
    <s v="Beauty"/>
    <n v="2"/>
    <n v="50"/>
    <n v="100"/>
    <x v="11"/>
  </r>
  <r>
    <d v="2023-03-03T00:00:00"/>
    <s v="Female"/>
    <n v="22"/>
    <s v="Electronics"/>
    <n v="2"/>
    <n v="25"/>
    <n v="50"/>
    <x v="5"/>
  </r>
  <r>
    <d v="2023-10-19T00:00:00"/>
    <s v="Female"/>
    <n v="36"/>
    <s v="Clothing"/>
    <n v="4"/>
    <n v="300"/>
    <n v="1200"/>
    <x v="7"/>
  </r>
  <r>
    <d v="2023-05-07T00:00:00"/>
    <s v="Male"/>
    <n v="31"/>
    <s v="Clothing"/>
    <n v="4"/>
    <n v="50"/>
    <n v="200"/>
    <x v="3"/>
  </r>
  <r>
    <d v="2023-10-24T00:00:00"/>
    <s v="Female"/>
    <n v="43"/>
    <s v="Clothing"/>
    <n v="4"/>
    <n v="500"/>
    <n v="2000"/>
    <x v="7"/>
  </r>
  <r>
    <d v="2023-11-01T00:00:00"/>
    <s v="Male"/>
    <n v="21"/>
    <s v="Electronics"/>
    <n v="2"/>
    <n v="25"/>
    <n v="50"/>
    <x v="0"/>
  </r>
  <r>
    <d v="2023-01-21T00:00:00"/>
    <s v="Female"/>
    <n v="42"/>
    <s v="Beauty"/>
    <n v="1"/>
    <n v="30"/>
    <n v="30"/>
    <x v="2"/>
  </r>
  <r>
    <d v="2023-11-14T00:00:00"/>
    <s v="Male"/>
    <n v="62"/>
    <s v="Electronics"/>
    <n v="1"/>
    <n v="30"/>
    <n v="30"/>
    <x v="0"/>
  </r>
  <r>
    <d v="2023-02-11T00:00:00"/>
    <s v="Male"/>
    <n v="59"/>
    <s v="Clothing"/>
    <n v="2"/>
    <n v="500"/>
    <n v="1000"/>
    <x v="1"/>
  </r>
  <r>
    <d v="2023-08-03T00:00:00"/>
    <s v="Male"/>
    <n v="42"/>
    <s v="Electronics"/>
    <n v="1"/>
    <n v="25"/>
    <n v="25"/>
    <x v="8"/>
  </r>
  <r>
    <d v="2023-12-03T00:00:00"/>
    <s v="Female"/>
    <n v="35"/>
    <s v="Electronics"/>
    <n v="2"/>
    <n v="300"/>
    <n v="600"/>
    <x v="6"/>
  </r>
  <r>
    <d v="2023-10-26T00:00:00"/>
    <s v="Female"/>
    <n v="57"/>
    <s v="Beauty"/>
    <n v="1"/>
    <n v="50"/>
    <n v="50"/>
    <x v="7"/>
  </r>
  <r>
    <d v="2023-10-17T00:00:00"/>
    <s v="Male"/>
    <n v="25"/>
    <s v="Beauty"/>
    <n v="3"/>
    <n v="25"/>
    <n v="75"/>
    <x v="7"/>
  </r>
  <r>
    <d v="2023-09-25T00:00:00"/>
    <s v="Female"/>
    <n v="56"/>
    <s v="Clothing"/>
    <n v="3"/>
    <n v="30"/>
    <n v="90"/>
    <x v="9"/>
  </r>
  <r>
    <d v="2023-06-11T00:00:00"/>
    <s v="Male"/>
    <n v="57"/>
    <s v="Electronics"/>
    <n v="2"/>
    <n v="500"/>
    <n v="1000"/>
    <x v="10"/>
  </r>
  <r>
    <d v="2023-05-14T00:00:00"/>
    <s v="Male"/>
    <n v="31"/>
    <s v="Electronics"/>
    <n v="1"/>
    <n v="500"/>
    <n v="500"/>
    <x v="3"/>
  </r>
  <r>
    <d v="2023-04-15T00:00:00"/>
    <s v="Female"/>
    <n v="49"/>
    <s v="Beauty"/>
    <n v="4"/>
    <n v="50"/>
    <n v="200"/>
    <x v="4"/>
  </r>
  <r>
    <d v="2023-12-09T00:00:00"/>
    <s v="Female"/>
    <n v="55"/>
    <s v="Electronics"/>
    <n v="1"/>
    <n v="500"/>
    <n v="500"/>
    <x v="6"/>
  </r>
  <r>
    <d v="2023-06-10T00:00:00"/>
    <s v="Male"/>
    <n v="50"/>
    <s v="Electronics"/>
    <n v="3"/>
    <n v="500"/>
    <n v="1500"/>
    <x v="10"/>
  </r>
  <r>
    <d v="2023-05-03T00:00:00"/>
    <s v="Female"/>
    <n v="40"/>
    <s v="Electronics"/>
    <n v="3"/>
    <n v="25"/>
    <n v="75"/>
    <x v="3"/>
  </r>
  <r>
    <d v="2023-05-16T00:00:00"/>
    <s v="Female"/>
    <n v="32"/>
    <s v="Beauty"/>
    <n v="1"/>
    <n v="300"/>
    <n v="300"/>
    <x v="3"/>
  </r>
  <r>
    <d v="2023-07-22T00:00:00"/>
    <s v="Male"/>
    <n v="50"/>
    <s v="Clothing"/>
    <n v="1"/>
    <n v="50"/>
    <n v="50"/>
    <x v="11"/>
  </r>
  <r>
    <d v="2023-03-09T00:00:00"/>
    <s v="Male"/>
    <n v="42"/>
    <s v="Clothing"/>
    <n v="4"/>
    <n v="25"/>
    <n v="100"/>
    <x v="5"/>
  </r>
  <r>
    <d v="2023-12-10T00:00:00"/>
    <s v="Female"/>
    <n v="34"/>
    <s v="Electronics"/>
    <n v="4"/>
    <n v="300"/>
    <n v="1200"/>
    <x v="6"/>
  </r>
  <r>
    <d v="2023-11-27T00:00:00"/>
    <s v="Male"/>
    <n v="50"/>
    <s v="Clothing"/>
    <n v="1"/>
    <n v="25"/>
    <n v="25"/>
    <x v="0"/>
  </r>
  <r>
    <d v="2023-06-03T00:00:00"/>
    <s v="Male"/>
    <n v="64"/>
    <s v="Beauty"/>
    <n v="1"/>
    <n v="25"/>
    <n v="25"/>
    <x v="10"/>
  </r>
  <r>
    <d v="2023-08-23T00:00:00"/>
    <s v="Female"/>
    <n v="19"/>
    <s v="Beauty"/>
    <n v="1"/>
    <n v="500"/>
    <n v="500"/>
    <x v="8"/>
  </r>
  <r>
    <d v="2023-06-11T00:00:00"/>
    <s v="Male"/>
    <n v="31"/>
    <s v="Clothing"/>
    <n v="1"/>
    <n v="300"/>
    <n v="300"/>
    <x v="10"/>
  </r>
  <r>
    <d v="2023-02-07T00:00:00"/>
    <s v="Male"/>
    <n v="57"/>
    <s v="Clothing"/>
    <n v="2"/>
    <n v="50"/>
    <n v="100"/>
    <x v="1"/>
  </r>
  <r>
    <d v="2023-01-05T00:00:00"/>
    <s v="Female"/>
    <n v="57"/>
    <s v="Electronics"/>
    <n v="1"/>
    <n v="50"/>
    <n v="50"/>
    <x v="2"/>
  </r>
  <r>
    <d v="2023-08-23T00:00:00"/>
    <s v="Female"/>
    <n v="56"/>
    <s v="Clothing"/>
    <n v="4"/>
    <n v="300"/>
    <n v="1200"/>
    <x v="8"/>
  </r>
  <r>
    <d v="2023-11-15T00:00:00"/>
    <s v="Male"/>
    <n v="23"/>
    <s v="Electronics"/>
    <n v="3"/>
    <n v="500"/>
    <n v="1500"/>
    <x v="0"/>
  </r>
  <r>
    <d v="2023-10-16T00:00:00"/>
    <s v="Male"/>
    <n v="23"/>
    <s v="Electronics"/>
    <n v="2"/>
    <n v="30"/>
    <n v="60"/>
    <x v="7"/>
  </r>
  <r>
    <d v="2023-02-21T00:00:00"/>
    <s v="Female"/>
    <n v="20"/>
    <s v="Beauty"/>
    <n v="1"/>
    <n v="25"/>
    <n v="25"/>
    <x v="1"/>
  </r>
  <r>
    <d v="2023-02-07T00:00:00"/>
    <s v="Female"/>
    <n v="24"/>
    <s v="Beauty"/>
    <n v="3"/>
    <n v="500"/>
    <n v="1500"/>
    <x v="1"/>
  </r>
  <r>
    <d v="2023-10-03T00:00:00"/>
    <s v="Female"/>
    <n v="25"/>
    <s v="Beauty"/>
    <n v="2"/>
    <n v="300"/>
    <n v="600"/>
    <x v="7"/>
  </r>
  <r>
    <d v="2023-04-20T00:00:00"/>
    <s v="Female"/>
    <n v="59"/>
    <s v="Beauty"/>
    <n v="3"/>
    <n v="25"/>
    <n v="75"/>
    <x v="4"/>
  </r>
  <r>
    <d v="2023-09-17T00:00:00"/>
    <s v="Male"/>
    <n v="32"/>
    <s v="Clothing"/>
    <n v="1"/>
    <n v="50"/>
    <n v="50"/>
    <x v="9"/>
  </r>
  <r>
    <d v="2023-05-16T00:00:00"/>
    <s v="Female"/>
    <n v="64"/>
    <s v="Beauty"/>
    <n v="1"/>
    <n v="30"/>
    <n v="30"/>
    <x v="3"/>
  </r>
  <r>
    <d v="2023-03-09T00:00:00"/>
    <s v="Female"/>
    <n v="46"/>
    <s v="Clothing"/>
    <n v="4"/>
    <n v="50"/>
    <n v="200"/>
    <x v="5"/>
  </r>
  <r>
    <d v="2023-06-28T00:00:00"/>
    <s v="Male"/>
    <n v="50"/>
    <s v="Beauty"/>
    <n v="1"/>
    <n v="300"/>
    <n v="300"/>
    <x v="10"/>
  </r>
  <r>
    <d v="2023-02-05T00:00:00"/>
    <s v="Female"/>
    <n v="47"/>
    <s v="Clothing"/>
    <n v="1"/>
    <n v="25"/>
    <n v="25"/>
    <x v="1"/>
  </r>
  <r>
    <d v="2023-05-06T00:00:00"/>
    <s v="Male"/>
    <n v="56"/>
    <s v="Electronics"/>
    <n v="2"/>
    <n v="300"/>
    <n v="600"/>
    <x v="3"/>
  </r>
  <r>
    <d v="2023-07-09T00:00:00"/>
    <s v="Female"/>
    <n v="44"/>
    <s v="Clothing"/>
    <n v="4"/>
    <n v="25"/>
    <n v="100"/>
    <x v="11"/>
  </r>
  <r>
    <d v="2023-05-26T00:00:00"/>
    <s v="Female"/>
    <n v="53"/>
    <s v="Clothing"/>
    <n v="2"/>
    <n v="500"/>
    <n v="1000"/>
    <x v="3"/>
  </r>
  <r>
    <d v="2023-03-22T00:00:00"/>
    <s v="Female"/>
    <n v="46"/>
    <s v="Beauty"/>
    <n v="3"/>
    <n v="30"/>
    <n v="90"/>
    <x v="5"/>
  </r>
  <r>
    <d v="2023-08-13T00:00:00"/>
    <s v="Male"/>
    <n v="55"/>
    <s v="Clothing"/>
    <n v="1"/>
    <n v="500"/>
    <n v="500"/>
    <x v="8"/>
  </r>
  <r>
    <d v="2023-10-06T00:00:00"/>
    <s v="Male"/>
    <n v="50"/>
    <s v="Electronics"/>
    <n v="3"/>
    <n v="500"/>
    <n v="1500"/>
    <x v="7"/>
  </r>
  <r>
    <d v="2023-12-27T00:00:00"/>
    <s v="Female"/>
    <n v="54"/>
    <s v="Electronics"/>
    <n v="2"/>
    <n v="300"/>
    <n v="600"/>
    <x v="6"/>
  </r>
  <r>
    <d v="2023-06-04T00:00:00"/>
    <s v="Male"/>
    <n v="44"/>
    <s v="Beauty"/>
    <n v="1"/>
    <n v="30"/>
    <n v="30"/>
    <x v="10"/>
  </r>
  <r>
    <d v="2023-11-10T00:00:00"/>
    <s v="Male"/>
    <n v="50"/>
    <s v="Electronics"/>
    <n v="1"/>
    <n v="25"/>
    <n v="25"/>
    <x v="0"/>
  </r>
  <r>
    <d v="2023-12-01T00:00:00"/>
    <s v="Male"/>
    <n v="21"/>
    <s v="Clothing"/>
    <n v="2"/>
    <n v="25"/>
    <n v="50"/>
    <x v="6"/>
  </r>
  <r>
    <d v="2023-09-28T00:00:00"/>
    <s v="Male"/>
    <n v="39"/>
    <s v="Electronics"/>
    <n v="2"/>
    <n v="50"/>
    <n v="100"/>
    <x v="9"/>
  </r>
  <r>
    <d v="2023-01-05T00:00:00"/>
    <s v="Male"/>
    <n v="19"/>
    <s v="Beauty"/>
    <n v="2"/>
    <n v="25"/>
    <n v="50"/>
    <x v="2"/>
  </r>
  <r>
    <d v="2023-12-08T00:00:00"/>
    <s v="Male"/>
    <n v="27"/>
    <s v="Clothing"/>
    <n v="2"/>
    <n v="300"/>
    <n v="600"/>
    <x v="6"/>
  </r>
  <r>
    <d v="2023-10-11T00:00:00"/>
    <s v="Female"/>
    <n v="22"/>
    <s v="Beauty"/>
    <n v="2"/>
    <n v="500"/>
    <n v="1000"/>
    <x v="7"/>
  </r>
  <r>
    <d v="2023-06-03T00:00:00"/>
    <s v="Female"/>
    <n v="27"/>
    <s v="Clothing"/>
    <n v="1"/>
    <n v="500"/>
    <n v="500"/>
    <x v="10"/>
  </r>
  <r>
    <d v="2023-12-06T00:00:00"/>
    <s v="Male"/>
    <n v="50"/>
    <s v="Electronics"/>
    <n v="2"/>
    <n v="500"/>
    <n v="1000"/>
    <x v="6"/>
  </r>
  <r>
    <d v="2023-02-23T00:00:00"/>
    <s v="Female"/>
    <n v="55"/>
    <s v="Beauty"/>
    <n v="1"/>
    <n v="30"/>
    <n v="30"/>
    <x v="1"/>
  </r>
  <r>
    <d v="2023-03-10T00:00:00"/>
    <s v="Female"/>
    <n v="30"/>
    <s v="Beauty"/>
    <n v="1"/>
    <n v="25"/>
    <n v="25"/>
    <x v="5"/>
  </r>
  <r>
    <d v="2023-05-16T00:00:00"/>
    <s v="Female"/>
    <n v="48"/>
    <s v="Clothing"/>
    <n v="2"/>
    <n v="300"/>
    <n v="600"/>
    <x v="3"/>
  </r>
  <r>
    <d v="2023-03-01T00:00:00"/>
    <s v="Female"/>
    <n v="64"/>
    <s v="Beauty"/>
    <n v="2"/>
    <n v="30"/>
    <n v="60"/>
    <x v="5"/>
  </r>
  <r>
    <d v="2023-02-24T00:00:00"/>
    <s v="Male"/>
    <n v="53"/>
    <s v="Clothing"/>
    <n v="4"/>
    <n v="50"/>
    <n v="200"/>
    <x v="1"/>
  </r>
  <r>
    <d v="2023-10-11T00:00:00"/>
    <s v="Female"/>
    <n v="62"/>
    <s v="Clothing"/>
    <n v="1"/>
    <n v="300"/>
    <n v="300"/>
    <x v="7"/>
  </r>
  <r>
    <d v="2023-03-21T00:00:00"/>
    <s v="Female"/>
    <n v="41"/>
    <s v="Clothing"/>
    <n v="2"/>
    <n v="300"/>
    <n v="600"/>
    <x v="5"/>
  </r>
  <r>
    <d v="2023-05-20T00:00:00"/>
    <s v="Male"/>
    <n v="32"/>
    <s v="Clothing"/>
    <n v="2"/>
    <n v="300"/>
    <n v="600"/>
    <x v="3"/>
  </r>
  <r>
    <d v="2023-05-25T00:00:00"/>
    <s v="Male"/>
    <n v="46"/>
    <s v="Electronics"/>
    <n v="2"/>
    <n v="500"/>
    <n v="1000"/>
    <x v="3"/>
  </r>
  <r>
    <d v="2023-11-06T00:00:00"/>
    <s v="Female"/>
    <n v="25"/>
    <s v="Clothing"/>
    <n v="4"/>
    <n v="300"/>
    <n v="1200"/>
    <x v="0"/>
  </r>
  <r>
    <d v="2023-04-18T00:00:00"/>
    <s v="Female"/>
    <n v="22"/>
    <s v="Beauty"/>
    <n v="4"/>
    <n v="25"/>
    <n v="100"/>
    <x v="4"/>
  </r>
  <r>
    <d v="2023-06-25T00:00:00"/>
    <s v="Female"/>
    <n v="46"/>
    <s v="Electronics"/>
    <n v="3"/>
    <n v="300"/>
    <n v="900"/>
    <x v="10"/>
  </r>
  <r>
    <d v="2023-04-15T00:00:00"/>
    <s v="Female"/>
    <n v="64"/>
    <s v="Beauty"/>
    <n v="1"/>
    <n v="500"/>
    <n v="500"/>
    <x v="4"/>
  </r>
  <r>
    <d v="2023-12-18T00:00:00"/>
    <s v="Female"/>
    <n v="21"/>
    <s v="Electronics"/>
    <n v="3"/>
    <n v="300"/>
    <n v="900"/>
    <x v="6"/>
  </r>
  <r>
    <d v="2023-11-21T00:00:00"/>
    <s v="Female"/>
    <n v="29"/>
    <s v="Clothing"/>
    <n v="2"/>
    <n v="50"/>
    <n v="100"/>
    <x v="0"/>
  </r>
  <r>
    <d v="2023-05-16T00:00:00"/>
    <s v="Male"/>
    <n v="62"/>
    <s v="Electronics"/>
    <n v="4"/>
    <n v="50"/>
    <n v="200"/>
    <x v="3"/>
  </r>
  <r>
    <d v="2023-09-16T00:00:00"/>
    <s v="Female"/>
    <n v="19"/>
    <s v="Electronics"/>
    <n v="4"/>
    <n v="500"/>
    <n v="2000"/>
    <x v="9"/>
  </r>
  <r>
    <d v="2023-09-08T00:00:00"/>
    <s v="Female"/>
    <n v="44"/>
    <s v="Beauty"/>
    <n v="3"/>
    <n v="25"/>
    <n v="75"/>
    <x v="9"/>
  </r>
  <r>
    <d v="2023-05-09T00:00:00"/>
    <s v="Male"/>
    <n v="48"/>
    <s v="Beauty"/>
    <n v="4"/>
    <n v="25"/>
    <n v="100"/>
    <x v="3"/>
  </r>
  <r>
    <d v="2023-01-27T00:00:00"/>
    <s v="Male"/>
    <n v="53"/>
    <s v="Clothing"/>
    <n v="2"/>
    <n v="30"/>
    <n v="60"/>
    <x v="2"/>
  </r>
  <r>
    <d v="2023-02-17T00:00:00"/>
    <s v="Male"/>
    <n v="53"/>
    <s v="Electronics"/>
    <n v="4"/>
    <n v="500"/>
    <n v="2000"/>
    <x v="1"/>
  </r>
  <r>
    <d v="2023-11-21T00:00:00"/>
    <s v="Male"/>
    <n v="43"/>
    <s v="Electronics"/>
    <n v="3"/>
    <n v="300"/>
    <n v="900"/>
    <x v="0"/>
  </r>
  <r>
    <d v="2023-08-05T00:00:00"/>
    <s v="Female"/>
    <n v="60"/>
    <s v="Electronics"/>
    <n v="2"/>
    <n v="500"/>
    <n v="1000"/>
    <x v="8"/>
  </r>
  <r>
    <d v="2023-05-22T00:00:00"/>
    <s v="Female"/>
    <n v="44"/>
    <s v="Clothing"/>
    <n v="3"/>
    <n v="30"/>
    <n v="90"/>
    <x v="3"/>
  </r>
  <r>
    <d v="2023-01-23T00:00:00"/>
    <s v="Female"/>
    <n v="22"/>
    <s v="Clothing"/>
    <n v="4"/>
    <n v="500"/>
    <n v="2000"/>
    <x v="2"/>
  </r>
  <r>
    <d v="2023-01-02T00:00:00"/>
    <s v="Female"/>
    <n v="37"/>
    <s v="Clothing"/>
    <n v="3"/>
    <n v="500"/>
    <n v="1500"/>
    <x v="2"/>
  </r>
  <r>
    <d v="2023-06-20T00:00:00"/>
    <s v="Female"/>
    <n v="28"/>
    <s v="Clothing"/>
    <n v="3"/>
    <n v="30"/>
    <n v="90"/>
    <x v="10"/>
  </r>
  <r>
    <d v="2023-03-08T00:00:00"/>
    <s v="Female"/>
    <n v="27"/>
    <s v="Clothing"/>
    <n v="1"/>
    <n v="25"/>
    <n v="25"/>
    <x v="5"/>
  </r>
  <r>
    <d v="2023-11-23T00:00:00"/>
    <s v="Male"/>
    <n v="57"/>
    <s v="Beauty"/>
    <n v="4"/>
    <n v="300"/>
    <n v="1200"/>
    <x v="0"/>
  </r>
  <r>
    <d v="2023-05-15T00:00:00"/>
    <s v="Female"/>
    <n v="55"/>
    <s v="Electronics"/>
    <n v="4"/>
    <n v="30"/>
    <n v="120"/>
    <x v="3"/>
  </r>
  <r>
    <d v="2023-03-24T00:00:00"/>
    <s v="Male"/>
    <n v="23"/>
    <s v="Electronics"/>
    <n v="3"/>
    <n v="50"/>
    <n v="150"/>
    <x v="5"/>
  </r>
  <r>
    <d v="2023-08-15T00:00:00"/>
    <s v="Male"/>
    <n v="25"/>
    <s v="Electronics"/>
    <n v="1"/>
    <n v="25"/>
    <n v="25"/>
    <x v="8"/>
  </r>
  <r>
    <d v="2023-10-10T00:00:00"/>
    <s v="Female"/>
    <n v="40"/>
    <s v="Electronics"/>
    <n v="4"/>
    <n v="50"/>
    <n v="200"/>
    <x v="7"/>
  </r>
  <r>
    <d v="2023-12-28T00:00:00"/>
    <s v="Male"/>
    <n v="64"/>
    <s v="Electronics"/>
    <n v="2"/>
    <n v="25"/>
    <n v="50"/>
    <x v="6"/>
  </r>
  <r>
    <d v="2023-08-07T00:00:00"/>
    <s v="Female"/>
    <n v="43"/>
    <s v="Electronics"/>
    <n v="3"/>
    <n v="300"/>
    <n v="900"/>
    <x v="8"/>
  </r>
  <r>
    <d v="2023-10-15T00:00:00"/>
    <s v="Male"/>
    <n v="63"/>
    <s v="Electronics"/>
    <n v="4"/>
    <n v="300"/>
    <n v="1200"/>
    <x v="7"/>
  </r>
  <r>
    <d v="2023-01-05T00:00:00"/>
    <s v="Female"/>
    <n v="60"/>
    <s v="Electronics"/>
    <n v="2"/>
    <n v="500"/>
    <n v="1000"/>
    <x v="2"/>
  </r>
  <r>
    <d v="2023-02-27T00:00:00"/>
    <s v="Male"/>
    <n v="29"/>
    <s v="Beauty"/>
    <n v="4"/>
    <n v="50"/>
    <n v="200"/>
    <x v="1"/>
  </r>
  <r>
    <d v="2023-02-08T00:00:00"/>
    <s v="Female"/>
    <n v="43"/>
    <s v="Electronics"/>
    <n v="2"/>
    <n v="25"/>
    <n v="50"/>
    <x v="1"/>
  </r>
  <r>
    <d v="2023-12-20T00:00:00"/>
    <s v="Female"/>
    <n v="30"/>
    <s v="Beauty"/>
    <n v="3"/>
    <n v="300"/>
    <n v="900"/>
    <x v="6"/>
  </r>
  <r>
    <d v="2023-03-18T00:00:00"/>
    <s v="Female"/>
    <n v="57"/>
    <s v="Clothing"/>
    <n v="4"/>
    <n v="30"/>
    <n v="120"/>
    <x v="5"/>
  </r>
  <r>
    <d v="2023-10-07T00:00:00"/>
    <s v="Female"/>
    <n v="35"/>
    <s v="Electronics"/>
    <n v="4"/>
    <n v="300"/>
    <n v="1200"/>
    <x v="7"/>
  </r>
  <r>
    <d v="2023-01-19T00:00:00"/>
    <s v="Female"/>
    <n v="42"/>
    <s v="Clothing"/>
    <n v="1"/>
    <n v="30"/>
    <n v="30"/>
    <x v="2"/>
  </r>
  <r>
    <d v="2023-07-09T00:00:00"/>
    <s v="Male"/>
    <n v="50"/>
    <s v="Clothing"/>
    <n v="3"/>
    <n v="25"/>
    <n v="75"/>
    <x v="11"/>
  </r>
  <r>
    <d v="2023-10-26T00:00:00"/>
    <s v="Male"/>
    <n v="64"/>
    <s v="Clothing"/>
    <n v="2"/>
    <n v="300"/>
    <n v="600"/>
    <x v="7"/>
  </r>
  <r>
    <d v="2023-10-10T00:00:00"/>
    <s v="Male"/>
    <n v="57"/>
    <s v="Beauty"/>
    <n v="4"/>
    <n v="300"/>
    <n v="1200"/>
    <x v="7"/>
  </r>
  <r>
    <d v="2023-03-17T00:00:00"/>
    <s v="Female"/>
    <n v="60"/>
    <s v="Clothing"/>
    <n v="4"/>
    <n v="25"/>
    <n v="100"/>
    <x v="5"/>
  </r>
  <r>
    <d v="2023-08-09T00:00:00"/>
    <s v="Male"/>
    <n v="29"/>
    <s v="Clothing"/>
    <n v="2"/>
    <n v="300"/>
    <n v="600"/>
    <x v="8"/>
  </r>
  <r>
    <d v="2023-03-07T00:00:00"/>
    <s v="Female"/>
    <n v="61"/>
    <s v="Clothing"/>
    <n v="3"/>
    <n v="30"/>
    <n v="90"/>
    <x v="5"/>
  </r>
  <r>
    <d v="2023-01-22T00:00:00"/>
    <s v="Female"/>
    <n v="53"/>
    <s v="Electronics"/>
    <n v="1"/>
    <n v="300"/>
    <n v="300"/>
    <x v="2"/>
  </r>
  <r>
    <d v="2023-06-07T00:00:00"/>
    <s v="Male"/>
    <n v="21"/>
    <s v="Electronics"/>
    <n v="1"/>
    <n v="50"/>
    <n v="50"/>
    <x v="10"/>
  </r>
  <r>
    <d v="2023-07-06T00:00:00"/>
    <s v="Male"/>
    <n v="22"/>
    <s v="Beauty"/>
    <n v="4"/>
    <n v="500"/>
    <n v="2000"/>
    <x v="11"/>
  </r>
  <r>
    <d v="2023-01-21T00:00:00"/>
    <s v="Female"/>
    <n v="54"/>
    <s v="Beauty"/>
    <n v="2"/>
    <n v="30"/>
    <n v="60"/>
    <x v="2"/>
  </r>
  <r>
    <d v="2023-07-03T00:00:00"/>
    <s v="Male"/>
    <n v="25"/>
    <s v="Electronics"/>
    <n v="4"/>
    <n v="50"/>
    <n v="200"/>
    <x v="11"/>
  </r>
  <r>
    <d v="2023-04-18T00:00:00"/>
    <s v="Female"/>
    <n v="59"/>
    <s v="Beauty"/>
    <n v="2"/>
    <n v="25"/>
    <n v="50"/>
    <x v="4"/>
  </r>
  <r>
    <d v="2023-12-16T00:00:00"/>
    <s v="Female"/>
    <n v="45"/>
    <s v="Electronics"/>
    <n v="1"/>
    <n v="30"/>
    <n v="30"/>
    <x v="6"/>
  </r>
  <r>
    <d v="2023-05-08T00:00:00"/>
    <s v="Female"/>
    <n v="48"/>
    <s v="Clothing"/>
    <n v="3"/>
    <n v="500"/>
    <n v="1500"/>
    <x v="3"/>
  </r>
  <r>
    <d v="2023-12-08T00:00:00"/>
    <s v="Female"/>
    <n v="26"/>
    <s v="Clothing"/>
    <n v="2"/>
    <n v="500"/>
    <n v="1000"/>
    <x v="6"/>
  </r>
  <r>
    <d v="2023-02-22T00:00:00"/>
    <s v="Female"/>
    <n v="46"/>
    <s v="Beauty"/>
    <n v="1"/>
    <n v="25"/>
    <n v="25"/>
    <x v="1"/>
  </r>
  <r>
    <d v="2023-07-01T00:00:00"/>
    <s v="Male"/>
    <n v="31"/>
    <s v="Electronics"/>
    <n v="4"/>
    <n v="25"/>
    <n v="100"/>
    <x v="11"/>
  </r>
  <r>
    <d v="2023-10-14T00:00:00"/>
    <s v="Male"/>
    <n v="57"/>
    <s v="Electronics"/>
    <n v="2"/>
    <n v="30"/>
    <n v="60"/>
    <x v="7"/>
  </r>
  <r>
    <d v="2023-07-28T00:00:00"/>
    <s v="Female"/>
    <n v="58"/>
    <s v="Beauty"/>
    <n v="3"/>
    <n v="300"/>
    <n v="900"/>
    <x v="11"/>
  </r>
  <r>
    <d v="2023-11-14T00:00:00"/>
    <s v="Female"/>
    <n v="39"/>
    <s v="Electronics"/>
    <n v="4"/>
    <n v="25"/>
    <n v="100"/>
    <x v="0"/>
  </r>
  <r>
    <d v="2023-03-21T00:00:00"/>
    <s v="Male"/>
    <n v="28"/>
    <s v="Clothing"/>
    <n v="4"/>
    <n v="300"/>
    <n v="1200"/>
    <x v="5"/>
  </r>
  <r>
    <d v="2023-05-02T00:00:00"/>
    <s v="Male"/>
    <n v="40"/>
    <s v="Beauty"/>
    <n v="1"/>
    <n v="50"/>
    <n v="50"/>
    <x v="3"/>
  </r>
  <r>
    <d v="2023-03-25T00:00:00"/>
    <s v="Female"/>
    <n v="18"/>
    <s v="Beauty"/>
    <n v="2"/>
    <n v="500"/>
    <n v="1000"/>
    <x v="5"/>
  </r>
  <r>
    <d v="2023-04-01T00:00:00"/>
    <s v="Male"/>
    <n v="63"/>
    <s v="Electronics"/>
    <n v="4"/>
    <n v="300"/>
    <n v="1200"/>
    <x v="4"/>
  </r>
  <r>
    <d v="2023-07-31T00:00:00"/>
    <s v="Female"/>
    <n v="54"/>
    <s v="Beauty"/>
    <n v="3"/>
    <n v="500"/>
    <n v="1500"/>
    <x v="11"/>
  </r>
  <r>
    <d v="2023-01-13T00:00:00"/>
    <s v="Male"/>
    <n v="38"/>
    <s v="Electronics"/>
    <n v="2"/>
    <n v="300"/>
    <n v="600"/>
    <x v="2"/>
  </r>
  <r>
    <d v="2023-04-02T00:00:00"/>
    <s v="Female"/>
    <n v="43"/>
    <s v="Electronics"/>
    <n v="3"/>
    <n v="50"/>
    <n v="150"/>
    <x v="4"/>
  </r>
  <r>
    <d v="2023-06-20T00:00:00"/>
    <s v="Male"/>
    <n v="63"/>
    <s v="Electronics"/>
    <n v="4"/>
    <n v="25"/>
    <n v="100"/>
    <x v="10"/>
  </r>
  <r>
    <d v="2023-07-30T00:00:00"/>
    <s v="Female"/>
    <n v="53"/>
    <s v="Electronics"/>
    <n v="3"/>
    <n v="50"/>
    <n v="150"/>
    <x v="11"/>
  </r>
  <r>
    <d v="2023-12-09T00:00:00"/>
    <s v="Male"/>
    <n v="40"/>
    <s v="Electronics"/>
    <n v="1"/>
    <n v="25"/>
    <n v="25"/>
    <x v="6"/>
  </r>
  <r>
    <d v="2023-05-08T00:00:00"/>
    <s v="Male"/>
    <n v="18"/>
    <s v="Beauty"/>
    <n v="3"/>
    <n v="25"/>
    <n v="75"/>
    <x v="3"/>
  </r>
  <r>
    <d v="2023-05-17T00:00:00"/>
    <s v="Female"/>
    <n v="57"/>
    <s v="Clothing"/>
    <n v="2"/>
    <n v="500"/>
    <n v="1000"/>
    <x v="3"/>
  </r>
  <r>
    <d v="2023-03-23T00:00:00"/>
    <s v="Male"/>
    <n v="32"/>
    <s v="Clothing"/>
    <n v="3"/>
    <n v="50"/>
    <n v="150"/>
    <x v="5"/>
  </r>
  <r>
    <d v="2023-12-26T00:00:00"/>
    <s v="Female"/>
    <n v="38"/>
    <s v="Beauty"/>
    <n v="3"/>
    <n v="300"/>
    <n v="900"/>
    <x v="6"/>
  </r>
  <r>
    <d v="2023-02-25T00:00:00"/>
    <s v="Male"/>
    <n v="64"/>
    <s v="Beauty"/>
    <n v="1"/>
    <n v="50"/>
    <n v="50"/>
    <x v="1"/>
  </r>
  <r>
    <d v="2023-07-15T00:00:00"/>
    <s v="Female"/>
    <n v="26"/>
    <s v="Clothing"/>
    <n v="3"/>
    <n v="500"/>
    <n v="1500"/>
    <x v="11"/>
  </r>
  <r>
    <d v="2023-01-20T00:00:00"/>
    <s v="Male"/>
    <n v="26"/>
    <s v="Clothing"/>
    <n v="3"/>
    <n v="25"/>
    <n v="75"/>
    <x v="2"/>
  </r>
  <r>
    <d v="2023-08-29T00:00:00"/>
    <s v="Female"/>
    <n v="27"/>
    <s v="Clothing"/>
    <n v="4"/>
    <n v="500"/>
    <n v="2000"/>
    <x v="8"/>
  </r>
  <r>
    <d v="2023-04-24T00:00:00"/>
    <s v="Male"/>
    <n v="43"/>
    <s v="Clothing"/>
    <n v="4"/>
    <n v="30"/>
    <n v="120"/>
    <x v="4"/>
  </r>
  <r>
    <d v="2023-04-13T00:00:00"/>
    <s v="Female"/>
    <n v="58"/>
    <s v="Clothing"/>
    <n v="2"/>
    <n v="30"/>
    <n v="60"/>
    <x v="4"/>
  </r>
  <r>
    <d v="2023-08-24T00:00:00"/>
    <s v="Male"/>
    <n v="52"/>
    <s v="Electronics"/>
    <n v="4"/>
    <n v="300"/>
    <n v="1200"/>
    <x v="8"/>
  </r>
  <r>
    <d v="2023-06-29T00:00:00"/>
    <s v="Female"/>
    <n v="42"/>
    <s v="Beauty"/>
    <n v="4"/>
    <n v="500"/>
    <n v="2000"/>
    <x v="10"/>
  </r>
  <r>
    <d v="2023-06-06T00:00:00"/>
    <s v="Female"/>
    <n v="43"/>
    <s v="Electronics"/>
    <n v="4"/>
    <n v="300"/>
    <n v="1200"/>
    <x v="10"/>
  </r>
  <r>
    <d v="2023-04-27T00:00:00"/>
    <s v="Female"/>
    <n v="28"/>
    <s v="Clothing"/>
    <n v="4"/>
    <n v="300"/>
    <n v="1200"/>
    <x v="4"/>
  </r>
  <r>
    <d v="2023-04-25T00:00:00"/>
    <s v="Male"/>
    <n v="55"/>
    <s v="Clothing"/>
    <n v="1"/>
    <n v="30"/>
    <n v="30"/>
    <x v="4"/>
  </r>
  <r>
    <d v="2023-01-13T00:00:00"/>
    <s v="Female"/>
    <n v="19"/>
    <s v="Clothing"/>
    <n v="4"/>
    <n v="300"/>
    <n v="1200"/>
    <x v="2"/>
  </r>
  <r>
    <d v="2023-12-04T00:00:00"/>
    <s v="Male"/>
    <n v="24"/>
    <s v="Electronics"/>
    <n v="1"/>
    <n v="30"/>
    <n v="30"/>
    <x v="6"/>
  </r>
  <r>
    <d v="2023-04-09T00:00:00"/>
    <s v="Female"/>
    <n v="35"/>
    <s v="Electronics"/>
    <n v="1"/>
    <n v="25"/>
    <n v="25"/>
    <x v="4"/>
  </r>
  <r>
    <d v="2023-07-24T00:00:00"/>
    <s v="Male"/>
    <n v="44"/>
    <s v="Clothing"/>
    <n v="4"/>
    <n v="500"/>
    <n v="2000"/>
    <x v="11"/>
  </r>
  <r>
    <d v="2023-06-18T00:00:00"/>
    <s v="Female"/>
    <n v="51"/>
    <s v="Electronics"/>
    <n v="3"/>
    <n v="300"/>
    <n v="900"/>
    <x v="10"/>
  </r>
  <r>
    <d v="2023-05-23T00:00:00"/>
    <s v="Male"/>
    <n v="44"/>
    <s v="Electronics"/>
    <n v="1"/>
    <n v="30"/>
    <n v="30"/>
    <x v="3"/>
  </r>
  <r>
    <d v="2023-02-05T00:00:00"/>
    <s v="Male"/>
    <n v="34"/>
    <s v="Clothing"/>
    <n v="3"/>
    <n v="50"/>
    <n v="150"/>
    <x v="1"/>
  </r>
  <r>
    <d v="2023-05-23T00:00:00"/>
    <s v="Female"/>
    <n v="60"/>
    <s v="Electronics"/>
    <n v="3"/>
    <n v="300"/>
    <n v="900"/>
    <x v="3"/>
  </r>
  <r>
    <d v="2023-06-29T00:00:00"/>
    <s v="Male"/>
    <n v="61"/>
    <s v="Beauty"/>
    <n v="4"/>
    <n v="25"/>
    <n v="100"/>
    <x v="10"/>
  </r>
  <r>
    <d v="2023-11-25T00:00:00"/>
    <s v="Male"/>
    <n v="41"/>
    <s v="Beauty"/>
    <n v="2"/>
    <n v="25"/>
    <n v="50"/>
    <x v="0"/>
  </r>
  <r>
    <d v="2023-09-18T00:00:00"/>
    <s v="Female"/>
    <n v="42"/>
    <s v="Beauty"/>
    <n v="4"/>
    <n v="50"/>
    <n v="200"/>
    <x v="9"/>
  </r>
  <r>
    <d v="2023-07-24T00:00:00"/>
    <s v="Male"/>
    <n v="24"/>
    <s v="Beauty"/>
    <n v="2"/>
    <n v="30"/>
    <n v="60"/>
    <x v="11"/>
  </r>
  <r>
    <d v="2023-12-14T00:00:00"/>
    <s v="Male"/>
    <n v="23"/>
    <s v="Clothing"/>
    <n v="2"/>
    <n v="300"/>
    <n v="600"/>
    <x v="6"/>
  </r>
  <r>
    <d v="2023-10-02T00:00:00"/>
    <s v="Male"/>
    <n v="41"/>
    <s v="Clothing"/>
    <n v="4"/>
    <n v="30"/>
    <n v="120"/>
    <x v="7"/>
  </r>
  <r>
    <d v="2023-06-19T00:00:00"/>
    <s v="Female"/>
    <n v="50"/>
    <s v="Clothing"/>
    <n v="4"/>
    <n v="25"/>
    <n v="100"/>
    <x v="10"/>
  </r>
  <r>
    <d v="2023-01-15T00:00:00"/>
    <s v="Male"/>
    <n v="46"/>
    <s v="Beauty"/>
    <n v="2"/>
    <n v="30"/>
    <n v="60"/>
    <x v="2"/>
  </r>
  <r>
    <d v="2023-03-01T00:00:00"/>
    <s v="Female"/>
    <n v="60"/>
    <s v="Beauty"/>
    <n v="4"/>
    <n v="25"/>
    <n v="100"/>
    <x v="5"/>
  </r>
  <r>
    <d v="2023-05-14T00:00:00"/>
    <s v="Male"/>
    <n v="39"/>
    <s v="Electronics"/>
    <n v="2"/>
    <n v="30"/>
    <n v="60"/>
    <x v="3"/>
  </r>
  <r>
    <d v="2023-04-02T00:00:00"/>
    <s v="Male"/>
    <n v="43"/>
    <s v="Electronics"/>
    <n v="3"/>
    <n v="50"/>
    <n v="150"/>
    <x v="4"/>
  </r>
  <r>
    <d v="2023-10-25T00:00:00"/>
    <s v="Male"/>
    <n v="45"/>
    <s v="Beauty"/>
    <n v="4"/>
    <n v="500"/>
    <n v="2000"/>
    <x v="7"/>
  </r>
  <r>
    <d v="2023-05-16T00:00:00"/>
    <s v="Female"/>
    <n v="38"/>
    <s v="Beauty"/>
    <n v="3"/>
    <n v="50"/>
    <n v="150"/>
    <x v="3"/>
  </r>
  <r>
    <d v="2023-01-20T00:00:00"/>
    <s v="Male"/>
    <n v="24"/>
    <s v="Beauty"/>
    <n v="1"/>
    <n v="50"/>
    <n v="50"/>
    <x v="2"/>
  </r>
  <r>
    <d v="2023-02-25T00:00:00"/>
    <s v="Male"/>
    <n v="34"/>
    <s v="Beauty"/>
    <n v="3"/>
    <n v="500"/>
    <n v="1500"/>
    <x v="1"/>
  </r>
  <r>
    <d v="2023-11-02T00:00:00"/>
    <s v="Female"/>
    <n v="37"/>
    <s v="Electronics"/>
    <n v="3"/>
    <n v="500"/>
    <n v="1500"/>
    <x v="0"/>
  </r>
  <r>
    <d v="2023-08-11T00:00:00"/>
    <s v="Male"/>
    <n v="58"/>
    <s v="Beauty"/>
    <n v="2"/>
    <n v="300"/>
    <n v="600"/>
    <x v="8"/>
  </r>
  <r>
    <d v="2023-06-26T00:00:00"/>
    <s v="Female"/>
    <n v="37"/>
    <s v="Electronics"/>
    <n v="3"/>
    <n v="300"/>
    <n v="900"/>
    <x v="10"/>
  </r>
  <r>
    <d v="2023-06-10T00:00:00"/>
    <s v="Female"/>
    <n v="39"/>
    <s v="Beauty"/>
    <n v="4"/>
    <n v="50"/>
    <n v="200"/>
    <x v="10"/>
  </r>
  <r>
    <d v="2023-08-12T00:00:00"/>
    <s v="Male"/>
    <n v="45"/>
    <s v="Beauty"/>
    <n v="2"/>
    <n v="50"/>
    <n v="100"/>
    <x v="8"/>
  </r>
  <r>
    <d v="2023-11-07T00:00:00"/>
    <s v="Female"/>
    <n v="57"/>
    <s v="Beauty"/>
    <n v="1"/>
    <n v="25"/>
    <n v="25"/>
    <x v="0"/>
  </r>
  <r>
    <d v="2023-09-19T00:00:00"/>
    <s v="Male"/>
    <n v="24"/>
    <s v="Electronics"/>
    <n v="4"/>
    <n v="25"/>
    <n v="100"/>
    <x v="9"/>
  </r>
  <r>
    <d v="2023-03-01T00:00:00"/>
    <s v="Female"/>
    <n v="18"/>
    <s v="Electronics"/>
    <n v="1"/>
    <n v="300"/>
    <n v="300"/>
    <x v="5"/>
  </r>
  <r>
    <d v="2023-07-17T00:00:00"/>
    <s v="Female"/>
    <n v="49"/>
    <s v="Clothing"/>
    <n v="3"/>
    <n v="300"/>
    <n v="900"/>
    <x v="11"/>
  </r>
  <r>
    <d v="2023-10-23T00:00:00"/>
    <s v="Male"/>
    <n v="30"/>
    <s v="Beauty"/>
    <n v="4"/>
    <n v="25"/>
    <n v="100"/>
    <x v="7"/>
  </r>
  <r>
    <d v="2023-04-08T00:00:00"/>
    <s v="Female"/>
    <n v="47"/>
    <s v="Clothing"/>
    <n v="4"/>
    <n v="25"/>
    <n v="100"/>
    <x v="4"/>
  </r>
  <r>
    <d v="2023-05-11T00:00:00"/>
    <s v="Female"/>
    <n v="40"/>
    <s v="Clothing"/>
    <n v="1"/>
    <n v="30"/>
    <n v="30"/>
    <x v="3"/>
  </r>
  <r>
    <d v="2023-01-23T00:00:00"/>
    <s v="Female"/>
    <n v="36"/>
    <s v="Electronics"/>
    <n v="4"/>
    <n v="30"/>
    <n v="120"/>
    <x v="2"/>
  </r>
  <r>
    <d v="2023-12-29T00:00:00"/>
    <s v="Female"/>
    <n v="49"/>
    <s v="Electronics"/>
    <n v="4"/>
    <n v="25"/>
    <n v="100"/>
    <x v="6"/>
  </r>
  <r>
    <d v="2023-08-12T00:00:00"/>
    <s v="Female"/>
    <n v="47"/>
    <s v="Clothing"/>
    <n v="4"/>
    <n v="30"/>
    <n v="120"/>
    <x v="8"/>
  </r>
  <r>
    <d v="2023-01-01T00:00:00"/>
    <s v="Male"/>
    <n v="46"/>
    <s v="Beauty"/>
    <n v="3"/>
    <n v="500"/>
    <n v="1500"/>
    <x v="2"/>
  </r>
  <r>
    <d v="2023-09-24T00:00:00"/>
    <s v="Female"/>
    <n v="62"/>
    <s v="Electronics"/>
    <n v="1"/>
    <n v="300"/>
    <n v="300"/>
    <x v="9"/>
  </r>
  <r>
    <d v="2023-10-03T00:00:00"/>
    <s v="Male"/>
    <n v="46"/>
    <s v="Beauty"/>
    <n v="4"/>
    <n v="300"/>
    <n v="1200"/>
    <x v="7"/>
  </r>
  <r>
    <d v="2023-12-18T00:00:00"/>
    <s v="Female"/>
    <n v="47"/>
    <s v="Beauty"/>
    <n v="2"/>
    <n v="25"/>
    <n v="50"/>
    <x v="6"/>
  </r>
  <r>
    <d v="2023-12-10T00:00:00"/>
    <s v="Male"/>
    <n v="33"/>
    <s v="Clothing"/>
    <n v="2"/>
    <n v="50"/>
    <n v="100"/>
    <x v="6"/>
  </r>
  <r>
    <d v="2023-04-11T00:00:00"/>
    <s v="Male"/>
    <n v="57"/>
    <s v="Clothing"/>
    <n v="2"/>
    <n v="25"/>
    <n v="50"/>
    <x v="4"/>
  </r>
  <r>
    <d v="2023-07-06T00:00:00"/>
    <s v="Female"/>
    <n v="36"/>
    <s v="Clothing"/>
    <n v="2"/>
    <n v="30"/>
    <n v="60"/>
    <x v="11"/>
  </r>
  <r>
    <d v="2023-08-09T00:00:00"/>
    <s v="Female"/>
    <n v="35"/>
    <s v="Clothing"/>
    <n v="3"/>
    <n v="50"/>
    <n v="150"/>
    <x v="8"/>
  </r>
  <r>
    <d v="2023-02-05T00:00:00"/>
    <s v="Female"/>
    <n v="18"/>
    <s v="Electronics"/>
    <n v="4"/>
    <n v="30"/>
    <n v="120"/>
    <x v="1"/>
  </r>
  <r>
    <d v="2023-12-07T00:00:00"/>
    <s v="Male"/>
    <n v="31"/>
    <s v="Electronics"/>
    <n v="1"/>
    <n v="500"/>
    <n v="500"/>
    <x v="6"/>
  </r>
  <r>
    <d v="2023-06-19T00:00:00"/>
    <s v="Female"/>
    <n v="64"/>
    <s v="Clothing"/>
    <n v="4"/>
    <n v="30"/>
    <n v="120"/>
    <x v="10"/>
  </r>
  <r>
    <d v="2023-11-16T00:00:00"/>
    <s v="Male"/>
    <n v="19"/>
    <s v="Electronics"/>
    <n v="3"/>
    <n v="500"/>
    <n v="1500"/>
    <x v="0"/>
  </r>
  <r>
    <d v="2023-06-10T00:00:00"/>
    <s v="Male"/>
    <n v="45"/>
    <s v="Clothing"/>
    <n v="2"/>
    <n v="500"/>
    <n v="1000"/>
    <x v="10"/>
  </r>
  <r>
    <d v="2023-12-06T00:00:00"/>
    <s v="Male"/>
    <n v="47"/>
    <s v="Beauty"/>
    <n v="3"/>
    <n v="30"/>
    <n v="90"/>
    <x v="6"/>
  </r>
  <r>
    <d v="2023-03-05T00:00:00"/>
    <s v="Female"/>
    <n v="55"/>
    <s v="Beauty"/>
    <n v="4"/>
    <n v="30"/>
    <n v="120"/>
    <x v="5"/>
  </r>
  <r>
    <d v="2023-06-03T00:00:00"/>
    <s v="Female"/>
    <n v="21"/>
    <s v="Beauty"/>
    <n v="1"/>
    <n v="500"/>
    <n v="500"/>
    <x v="10"/>
  </r>
  <r>
    <d v="2023-09-17T00:00:00"/>
    <s v="Male"/>
    <n v="18"/>
    <s v="Clothing"/>
    <n v="3"/>
    <n v="50"/>
    <n v="150"/>
    <x v="9"/>
  </r>
  <r>
    <d v="2023-06-08T00:00:00"/>
    <s v="Male"/>
    <n v="25"/>
    <s v="Beauty"/>
    <n v="1"/>
    <n v="500"/>
    <n v="500"/>
    <x v="10"/>
  </r>
  <r>
    <d v="2023-12-08T00:00:00"/>
    <s v="Female"/>
    <n v="46"/>
    <s v="Electronics"/>
    <n v="3"/>
    <n v="300"/>
    <n v="900"/>
    <x v="6"/>
  </r>
  <r>
    <d v="2023-07-29T00:00:00"/>
    <s v="Male"/>
    <n v="56"/>
    <s v="Beauty"/>
    <n v="1"/>
    <n v="500"/>
    <n v="500"/>
    <x v="11"/>
  </r>
  <r>
    <d v="2023-06-17T00:00:00"/>
    <s v="Female"/>
    <n v="20"/>
    <s v="Beauty"/>
    <n v="1"/>
    <n v="50"/>
    <n v="50"/>
    <x v="10"/>
  </r>
  <r>
    <d v="2023-07-26T00:00:00"/>
    <s v="Male"/>
    <n v="49"/>
    <s v="Beauty"/>
    <n v="2"/>
    <n v="300"/>
    <n v="600"/>
    <x v="11"/>
  </r>
  <r>
    <d v="2023-12-23T00:00:00"/>
    <s v="Female"/>
    <n v="27"/>
    <s v="Electronics"/>
    <n v="1"/>
    <n v="25"/>
    <n v="25"/>
    <x v="6"/>
  </r>
  <r>
    <d v="2023-06-01T00:00:00"/>
    <s v="Male"/>
    <n v="27"/>
    <s v="Clothing"/>
    <n v="2"/>
    <n v="25"/>
    <n v="50"/>
    <x v="10"/>
  </r>
  <r>
    <d v="2023-10-11T00:00:00"/>
    <s v="Female"/>
    <n v="36"/>
    <s v="Electronics"/>
    <n v="4"/>
    <n v="50"/>
    <n v="200"/>
    <x v="7"/>
  </r>
  <r>
    <d v="2023-03-07T00:00:00"/>
    <s v="Male"/>
    <n v="63"/>
    <s v="Clothing"/>
    <n v="4"/>
    <n v="500"/>
    <n v="2000"/>
    <x v="5"/>
  </r>
  <r>
    <d v="2023-04-09T00:00:00"/>
    <s v="Female"/>
    <n v="51"/>
    <s v="Clothing"/>
    <n v="2"/>
    <n v="30"/>
    <n v="60"/>
    <x v="4"/>
  </r>
  <r>
    <d v="2023-08-04T00:00:00"/>
    <s v="Female"/>
    <n v="50"/>
    <s v="Beauty"/>
    <n v="2"/>
    <n v="50"/>
    <n v="100"/>
    <x v="8"/>
  </r>
  <r>
    <d v="2023-12-07T00:00:00"/>
    <s v="Male"/>
    <n v="40"/>
    <s v="Clothing"/>
    <n v="3"/>
    <n v="300"/>
    <n v="900"/>
    <x v="6"/>
  </r>
  <r>
    <d v="2023-07-14T00:00:00"/>
    <s v="Male"/>
    <n v="45"/>
    <s v="Electronics"/>
    <n v="3"/>
    <n v="300"/>
    <n v="900"/>
    <x v="11"/>
  </r>
  <r>
    <d v="2023-12-13T00:00:00"/>
    <s v="Female"/>
    <n v="49"/>
    <s v="Electronics"/>
    <n v="3"/>
    <n v="25"/>
    <n v="75"/>
    <x v="6"/>
  </r>
  <r>
    <d v="2023-03-31T00:00:00"/>
    <s v="Male"/>
    <n v="24"/>
    <s v="Clothing"/>
    <n v="4"/>
    <n v="300"/>
    <n v="1200"/>
    <x v="5"/>
  </r>
  <r>
    <d v="2023-11-12T00:00:00"/>
    <s v="Female"/>
    <n v="46"/>
    <s v="Beauty"/>
    <n v="3"/>
    <n v="50"/>
    <n v="150"/>
    <x v="0"/>
  </r>
  <r>
    <d v="2023-10-19T00:00:00"/>
    <s v="Male"/>
    <n v="25"/>
    <s v="Beauty"/>
    <n v="1"/>
    <n v="300"/>
    <n v="300"/>
    <x v="7"/>
  </r>
  <r>
    <d v="2023-06-04T00:00:00"/>
    <s v="Female"/>
    <n v="18"/>
    <s v="Electronics"/>
    <n v="1"/>
    <n v="50"/>
    <n v="50"/>
    <x v="10"/>
  </r>
  <r>
    <d v="2023-07-27T00:00:00"/>
    <s v="Female"/>
    <n v="20"/>
    <s v="Beauty"/>
    <n v="3"/>
    <n v="30"/>
    <n v="90"/>
    <x v="11"/>
  </r>
  <r>
    <d v="2023-10-08T00:00:00"/>
    <s v="Female"/>
    <n v="41"/>
    <s v="Clothing"/>
    <n v="1"/>
    <n v="25"/>
    <n v="25"/>
    <x v="7"/>
  </r>
  <r>
    <d v="2023-01-01T00:00:00"/>
    <s v="Female"/>
    <n v="40"/>
    <s v="Clothing"/>
    <n v="4"/>
    <n v="300"/>
    <n v="1200"/>
    <x v="2"/>
  </r>
  <r>
    <d v="2023-06-05T00:00:00"/>
    <s v="Female"/>
    <n v="25"/>
    <s v="Electronics"/>
    <n v="1"/>
    <n v="50"/>
    <n v="50"/>
    <x v="10"/>
  </r>
  <r>
    <d v="2023-05-27T00:00:00"/>
    <s v="Female"/>
    <n v="64"/>
    <s v="Clothing"/>
    <n v="4"/>
    <n v="500"/>
    <n v="2000"/>
    <x v="3"/>
  </r>
  <r>
    <d v="2023-04-18T00:00:00"/>
    <s v="Male"/>
    <n v="54"/>
    <s v="Electronics"/>
    <n v="2"/>
    <n v="25"/>
    <n v="50"/>
    <x v="4"/>
  </r>
  <r>
    <d v="2023-08-09T00:00:00"/>
    <s v="Male"/>
    <n v="20"/>
    <s v="Clothing"/>
    <n v="2"/>
    <n v="30"/>
    <n v="60"/>
    <x v="8"/>
  </r>
  <r>
    <d v="2023-10-24T00:00:00"/>
    <s v="Male"/>
    <n v="50"/>
    <s v="Electronics"/>
    <n v="2"/>
    <n v="50"/>
    <n v="100"/>
    <x v="7"/>
  </r>
  <r>
    <d v="2023-11-07T00:00:00"/>
    <s v="Female"/>
    <n v="45"/>
    <s v="Beauty"/>
    <n v="2"/>
    <n v="30"/>
    <n v="60"/>
    <x v="0"/>
  </r>
  <r>
    <d v="2023-12-02T00:00:00"/>
    <s v="Female"/>
    <n v="64"/>
    <s v="Clothing"/>
    <n v="1"/>
    <n v="30"/>
    <n v="30"/>
    <x v="6"/>
  </r>
  <r>
    <d v="2023-06-14T00:00:00"/>
    <s v="Female"/>
    <n v="25"/>
    <s v="Clothing"/>
    <n v="3"/>
    <n v="300"/>
    <n v="900"/>
    <x v="10"/>
  </r>
  <r>
    <d v="2023-08-27T00:00:00"/>
    <s v="Female"/>
    <n v="51"/>
    <s v="Electronics"/>
    <n v="1"/>
    <n v="300"/>
    <n v="300"/>
    <x v="8"/>
  </r>
  <r>
    <d v="2023-08-15T00:00:00"/>
    <s v="Male"/>
    <n v="52"/>
    <s v="Electronics"/>
    <n v="4"/>
    <n v="50"/>
    <n v="200"/>
    <x v="8"/>
  </r>
  <r>
    <d v="2023-08-15T00:00:00"/>
    <s v="Male"/>
    <n v="49"/>
    <s v="Clothing"/>
    <n v="1"/>
    <n v="500"/>
    <n v="500"/>
    <x v="8"/>
  </r>
  <r>
    <d v="2023-12-12T00:00:00"/>
    <s v="Female"/>
    <n v="41"/>
    <s v="Electronics"/>
    <n v="1"/>
    <n v="50"/>
    <n v="50"/>
    <x v="6"/>
  </r>
  <r>
    <d v="2023-04-20T00:00:00"/>
    <s v="Male"/>
    <n v="31"/>
    <s v="Clothing"/>
    <n v="4"/>
    <n v="500"/>
    <n v="2000"/>
    <x v="4"/>
  </r>
  <r>
    <d v="2023-09-19T00:00:00"/>
    <s v="Male"/>
    <n v="49"/>
    <s v="Beauty"/>
    <n v="2"/>
    <n v="30"/>
    <n v="60"/>
    <x v="9"/>
  </r>
  <r>
    <d v="2023-08-31T00:00:00"/>
    <s v="Female"/>
    <n v="63"/>
    <s v="Electronics"/>
    <n v="2"/>
    <n v="25"/>
    <n v="50"/>
    <x v="8"/>
  </r>
  <r>
    <d v="2023-03-28T00:00:00"/>
    <s v="Male"/>
    <n v="60"/>
    <s v="Clothing"/>
    <n v="2"/>
    <n v="50"/>
    <n v="100"/>
    <x v="5"/>
  </r>
  <r>
    <d v="2023-12-04T00:00:00"/>
    <s v="Female"/>
    <n v="33"/>
    <s v="Beauty"/>
    <n v="3"/>
    <n v="50"/>
    <n v="150"/>
    <x v="6"/>
  </r>
  <r>
    <d v="2023-02-13T00:00:00"/>
    <s v="Male"/>
    <n v="21"/>
    <s v="Beauty"/>
    <n v="4"/>
    <n v="500"/>
    <n v="2000"/>
    <x v="1"/>
  </r>
  <r>
    <d v="2023-05-26T00:00:00"/>
    <s v="Female"/>
    <n v="54"/>
    <s v="Clothing"/>
    <n v="4"/>
    <n v="30"/>
    <n v="120"/>
    <x v="3"/>
  </r>
  <r>
    <d v="2023-09-21T00:00:00"/>
    <s v="Female"/>
    <n v="38"/>
    <s v="Electronics"/>
    <n v="1"/>
    <n v="30"/>
    <n v="30"/>
    <x v="9"/>
  </r>
  <r>
    <d v="2023-12-06T00:00:00"/>
    <s v="Female"/>
    <n v="31"/>
    <s v="Clothing"/>
    <n v="3"/>
    <n v="500"/>
    <n v="1500"/>
    <x v="6"/>
  </r>
  <r>
    <d v="2023-11-21T00:00:00"/>
    <s v="Female"/>
    <n v="48"/>
    <s v="Beauty"/>
    <n v="2"/>
    <n v="30"/>
    <n v="60"/>
    <x v="0"/>
  </r>
  <r>
    <d v="2023-11-14T00:00:00"/>
    <s v="Male"/>
    <n v="35"/>
    <s v="Clothing"/>
    <n v="3"/>
    <n v="300"/>
    <n v="900"/>
    <x v="0"/>
  </r>
  <r>
    <d v="2023-06-21T00:00:00"/>
    <s v="Female"/>
    <n v="24"/>
    <s v="Electronics"/>
    <n v="4"/>
    <n v="25"/>
    <n v="100"/>
    <x v="10"/>
  </r>
  <r>
    <d v="2023-02-17T00:00:00"/>
    <s v="Female"/>
    <n v="27"/>
    <s v="Beauty"/>
    <n v="4"/>
    <n v="50"/>
    <n v="200"/>
    <x v="1"/>
  </r>
  <r>
    <d v="2023-05-01T00:00:00"/>
    <s v="Female"/>
    <n v="24"/>
    <s v="Clothing"/>
    <n v="1"/>
    <n v="25"/>
    <n v="25"/>
    <x v="3"/>
  </r>
  <r>
    <d v="2023-12-11T00:00:00"/>
    <s v="Male"/>
    <n v="50"/>
    <s v="Electronics"/>
    <n v="1"/>
    <n v="50"/>
    <n v="50"/>
    <x v="6"/>
  </r>
  <r>
    <d v="2023-06-08T00:00:00"/>
    <s v="Female"/>
    <n v="40"/>
    <s v="Beauty"/>
    <n v="4"/>
    <n v="300"/>
    <n v="1200"/>
    <x v="10"/>
  </r>
  <r>
    <d v="2023-04-26T00:00:00"/>
    <s v="Male"/>
    <n v="38"/>
    <s v="Electronics"/>
    <n v="2"/>
    <n v="30"/>
    <n v="60"/>
    <x v="4"/>
  </r>
  <r>
    <d v="2023-04-12T00:00:00"/>
    <s v="Female"/>
    <n v="36"/>
    <s v="Beauty"/>
    <n v="2"/>
    <n v="500"/>
    <n v="1000"/>
    <x v="4"/>
  </r>
  <r>
    <d v="2023-03-17T00:00:00"/>
    <s v="Male"/>
    <n v="36"/>
    <s v="Clothing"/>
    <n v="3"/>
    <n v="300"/>
    <n v="900"/>
    <x v="5"/>
  </r>
  <r>
    <d v="2023-01-13T00:00:00"/>
    <s v="Male"/>
    <n v="53"/>
    <s v="Electronics"/>
    <n v="4"/>
    <n v="25"/>
    <n v="100"/>
    <x v="2"/>
  </r>
  <r>
    <d v="2023-01-24T00:00:00"/>
    <s v="Female"/>
    <n v="46"/>
    <s v="Beauty"/>
    <n v="4"/>
    <n v="500"/>
    <n v="2000"/>
    <x v="2"/>
  </r>
  <r>
    <d v="2023-05-06T00:00:00"/>
    <s v="Male"/>
    <n v="35"/>
    <s v="Electronics"/>
    <n v="2"/>
    <n v="30"/>
    <n v="60"/>
    <x v="3"/>
  </r>
  <r>
    <d v="2023-09-01T00:00:00"/>
    <s v="Female"/>
    <n v="19"/>
    <s v="Electronics"/>
    <n v="2"/>
    <n v="300"/>
    <n v="600"/>
    <x v="9"/>
  </r>
  <r>
    <d v="2023-11-09T00:00:00"/>
    <s v="Female"/>
    <n v="18"/>
    <s v="Clothing"/>
    <n v="4"/>
    <n v="500"/>
    <n v="2000"/>
    <x v="0"/>
  </r>
  <r>
    <d v="2023-02-07T00:00:00"/>
    <s v="Female"/>
    <n v="64"/>
    <s v="Electronics"/>
    <n v="1"/>
    <n v="300"/>
    <n v="300"/>
    <x v="1"/>
  </r>
  <r>
    <d v="2023-08-22T00:00:00"/>
    <s v="Male"/>
    <n v="22"/>
    <s v="Beauty"/>
    <n v="4"/>
    <n v="300"/>
    <n v="1200"/>
    <x v="8"/>
  </r>
  <r>
    <d v="2023-08-01T00:00:00"/>
    <s v="Male"/>
    <n v="37"/>
    <s v="Beauty"/>
    <n v="4"/>
    <n v="30"/>
    <n v="120"/>
    <x v="8"/>
  </r>
  <r>
    <d v="2023-11-19T00:00:00"/>
    <s v="Female"/>
    <n v="28"/>
    <s v="Beauty"/>
    <n v="2"/>
    <n v="50"/>
    <n v="100"/>
    <x v="0"/>
  </r>
  <r>
    <d v="2023-10-22T00:00:00"/>
    <s v="Female"/>
    <n v="59"/>
    <s v="Beauty"/>
    <n v="2"/>
    <n v="500"/>
    <n v="1000"/>
    <x v="7"/>
  </r>
  <r>
    <d v="2023-04-10T00:00:00"/>
    <s v="Male"/>
    <n v="19"/>
    <s v="Clothing"/>
    <n v="1"/>
    <n v="30"/>
    <n v="30"/>
    <x v="4"/>
  </r>
  <r>
    <d v="2023-12-23T00:00:00"/>
    <s v="Female"/>
    <n v="20"/>
    <s v="Electronics"/>
    <n v="1"/>
    <n v="300"/>
    <n v="300"/>
    <x v="6"/>
  </r>
  <r>
    <d v="2023-07-16T00:00:00"/>
    <s v="Female"/>
    <n v="40"/>
    <s v="Clothing"/>
    <n v="3"/>
    <n v="30"/>
    <n v="90"/>
    <x v="11"/>
  </r>
  <r>
    <d v="2023-09-11T00:00:00"/>
    <s v="Female"/>
    <n v="29"/>
    <s v="Electronics"/>
    <n v="4"/>
    <n v="50"/>
    <n v="200"/>
    <x v="9"/>
  </r>
  <r>
    <d v="2023-07-24T00:00:00"/>
    <s v="Male"/>
    <n v="37"/>
    <s v="Electronics"/>
    <n v="2"/>
    <n v="500"/>
    <n v="1000"/>
    <x v="11"/>
  </r>
  <r>
    <d v="2023-05-05T00:00:00"/>
    <s v="Male"/>
    <n v="22"/>
    <s v="Electronics"/>
    <n v="1"/>
    <n v="50"/>
    <n v="50"/>
    <x v="3"/>
  </r>
  <r>
    <d v="2023-03-17T00:00:00"/>
    <s v="Male"/>
    <n v="54"/>
    <s v="Clothing"/>
    <n v="3"/>
    <n v="25"/>
    <n v="75"/>
    <x v="5"/>
  </r>
  <r>
    <d v="2023-12-02T00:00:00"/>
    <s v="Female"/>
    <n v="55"/>
    <s v="Electronics"/>
    <n v="3"/>
    <n v="500"/>
    <n v="1500"/>
    <x v="6"/>
  </r>
  <r>
    <d v="2023-12-19T00:00:00"/>
    <s v="Female"/>
    <n v="47"/>
    <s v="Clothing"/>
    <n v="2"/>
    <n v="50"/>
    <n v="100"/>
    <x v="6"/>
  </r>
  <r>
    <d v="2023-01-03T00:00:00"/>
    <s v="Female"/>
    <n v="26"/>
    <s v="Beauty"/>
    <n v="2"/>
    <n v="300"/>
    <n v="600"/>
    <x v="2"/>
  </r>
  <r>
    <d v="2023-02-24T00:00:00"/>
    <s v="Male"/>
    <n v="51"/>
    <s v="Beauty"/>
    <n v="3"/>
    <n v="500"/>
    <n v="1500"/>
    <x v="1"/>
  </r>
  <r>
    <d v="2023-08-06T00:00:00"/>
    <s v="Female"/>
    <n v="61"/>
    <s v="Electronics"/>
    <n v="1"/>
    <n v="500"/>
    <n v="500"/>
    <x v="8"/>
  </r>
  <r>
    <d v="2023-04-23T00:00:00"/>
    <s v="Female"/>
    <n v="52"/>
    <s v="Clothing"/>
    <n v="3"/>
    <n v="30"/>
    <n v="90"/>
    <x v="4"/>
  </r>
  <r>
    <d v="2023-04-01T00:00:00"/>
    <s v="Female"/>
    <n v="39"/>
    <s v="Beauty"/>
    <n v="4"/>
    <n v="300"/>
    <n v="1200"/>
    <x v="4"/>
  </r>
  <r>
    <d v="2023-12-23T00:00:00"/>
    <s v="Female"/>
    <n v="61"/>
    <s v="Clothing"/>
    <n v="4"/>
    <n v="25"/>
    <n v="100"/>
    <x v="6"/>
  </r>
  <r>
    <d v="2023-09-23T00:00:00"/>
    <s v="Male"/>
    <n v="41"/>
    <s v="Clothing"/>
    <n v="2"/>
    <n v="50"/>
    <n v="100"/>
    <x v="9"/>
  </r>
  <r>
    <d v="2023-08-26T00:00:00"/>
    <s v="Male"/>
    <n v="34"/>
    <s v="Electronics"/>
    <n v="1"/>
    <n v="30"/>
    <n v="30"/>
    <x v="8"/>
  </r>
  <r>
    <d v="2023-01-26T00:00:00"/>
    <s v="Female"/>
    <n v="27"/>
    <s v="Beauty"/>
    <n v="1"/>
    <n v="50"/>
    <n v="50"/>
    <x v="2"/>
  </r>
  <r>
    <d v="2023-10-13T00:00:00"/>
    <s v="Male"/>
    <n v="47"/>
    <s v="Electronics"/>
    <n v="4"/>
    <n v="25"/>
    <n v="100"/>
    <x v="7"/>
  </r>
  <r>
    <d v="2023-05-08T00:00:00"/>
    <s v="Male"/>
    <n v="63"/>
    <s v="Electronics"/>
    <n v="3"/>
    <n v="25"/>
    <n v="75"/>
    <x v="3"/>
  </r>
  <r>
    <d v="2023-03-04T00:00:00"/>
    <s v="Female"/>
    <n v="40"/>
    <s v="Beauty"/>
    <n v="2"/>
    <n v="500"/>
    <n v="1000"/>
    <x v="5"/>
  </r>
  <r>
    <d v="2023-08-22T00:00:00"/>
    <s v="Female"/>
    <n v="49"/>
    <s v="Beauty"/>
    <n v="3"/>
    <n v="25"/>
    <n v="75"/>
    <x v="8"/>
  </r>
  <r>
    <d v="2023-03-10T00:00:00"/>
    <s v="Male"/>
    <n v="34"/>
    <s v="Clothing"/>
    <n v="3"/>
    <n v="50"/>
    <n v="150"/>
    <x v="5"/>
  </r>
  <r>
    <d v="2023-08-26T00:00:00"/>
    <s v="Female"/>
    <n v="34"/>
    <s v="Beauty"/>
    <n v="3"/>
    <n v="300"/>
    <n v="900"/>
    <x v="8"/>
  </r>
  <r>
    <d v="2023-12-08T00:00:00"/>
    <s v="Male"/>
    <n v="31"/>
    <s v="Clothing"/>
    <n v="1"/>
    <n v="300"/>
    <n v="300"/>
    <x v="6"/>
  </r>
  <r>
    <d v="2023-09-29T00:00:00"/>
    <s v="Female"/>
    <n v="26"/>
    <s v="Clothing"/>
    <n v="4"/>
    <n v="500"/>
    <n v="2000"/>
    <x v="9"/>
  </r>
  <r>
    <d v="2023-10-14T00:00:00"/>
    <s v="Male"/>
    <n v="57"/>
    <s v="Clothing"/>
    <n v="1"/>
    <n v="50"/>
    <n v="50"/>
    <x v="7"/>
  </r>
  <r>
    <d v="2023-11-01T00:00:00"/>
    <s v="Female"/>
    <n v="19"/>
    <s v="Beauty"/>
    <n v="4"/>
    <n v="50"/>
    <n v="200"/>
    <x v="0"/>
  </r>
  <r>
    <d v="2023-06-12T00:00:00"/>
    <s v="Male"/>
    <n v="62"/>
    <s v="Electronics"/>
    <n v="2"/>
    <n v="25"/>
    <n v="50"/>
    <x v="10"/>
  </r>
  <r>
    <d v="2023-08-15T00:00:00"/>
    <s v="Male"/>
    <n v="42"/>
    <s v="Clothing"/>
    <n v="2"/>
    <n v="50"/>
    <n v="100"/>
    <x v="8"/>
  </r>
  <r>
    <d v="2023-11-10T00:00:00"/>
    <s v="Male"/>
    <n v="56"/>
    <s v="Electronics"/>
    <n v="3"/>
    <n v="30"/>
    <n v="90"/>
    <x v="0"/>
  </r>
  <r>
    <d v="2023-09-16T00:00:00"/>
    <s v="Female"/>
    <n v="26"/>
    <s v="Electronics"/>
    <n v="4"/>
    <n v="25"/>
    <n v="100"/>
    <x v="9"/>
  </r>
  <r>
    <d v="2023-08-07T00:00:00"/>
    <s v="Male"/>
    <n v="39"/>
    <s v="Beauty"/>
    <n v="4"/>
    <n v="30"/>
    <n v="120"/>
    <x v="8"/>
  </r>
  <r>
    <d v="2023-10-08T00:00:00"/>
    <s v="Male"/>
    <n v="60"/>
    <s v="Electronics"/>
    <n v="4"/>
    <n v="500"/>
    <n v="2000"/>
    <x v="7"/>
  </r>
  <r>
    <d v="2023-08-17T00:00:00"/>
    <s v="Female"/>
    <n v="63"/>
    <s v="Electronics"/>
    <n v="3"/>
    <n v="300"/>
    <n v="900"/>
    <x v="8"/>
  </r>
  <r>
    <d v="2023-03-23T00:00:00"/>
    <s v="Female"/>
    <n v="21"/>
    <s v="Beauty"/>
    <n v="3"/>
    <n v="500"/>
    <n v="1500"/>
    <x v="5"/>
  </r>
  <r>
    <d v="2023-09-01T00:00:00"/>
    <s v="Male"/>
    <n v="43"/>
    <s v="Clothing"/>
    <n v="2"/>
    <n v="300"/>
    <n v="600"/>
    <x v="9"/>
  </r>
  <r>
    <d v="2023-08-19T00:00:00"/>
    <s v="Male"/>
    <n v="46"/>
    <s v="Electronics"/>
    <n v="1"/>
    <n v="500"/>
    <n v="500"/>
    <x v="8"/>
  </r>
  <r>
    <d v="2023-05-13T00:00:00"/>
    <s v="Female"/>
    <n v="62"/>
    <s v="Beauty"/>
    <n v="4"/>
    <n v="50"/>
    <n v="200"/>
    <x v="3"/>
  </r>
  <r>
    <d v="2023-05-07T00:00:00"/>
    <s v="Female"/>
    <n v="51"/>
    <s v="Electronics"/>
    <n v="4"/>
    <n v="30"/>
    <n v="120"/>
    <x v="3"/>
  </r>
  <r>
    <d v="2023-11-23T00:00:00"/>
    <s v="Female"/>
    <n v="40"/>
    <s v="Electronics"/>
    <n v="1"/>
    <n v="300"/>
    <n v="300"/>
    <x v="0"/>
  </r>
  <r>
    <d v="2023-05-22T00:00:00"/>
    <s v="Female"/>
    <n v="54"/>
    <s v="Clothing"/>
    <n v="4"/>
    <n v="25"/>
    <n v="100"/>
    <x v="3"/>
  </r>
  <r>
    <d v="2023-09-24T00:00:00"/>
    <s v="Female"/>
    <n v="28"/>
    <s v="Electronics"/>
    <n v="3"/>
    <n v="30"/>
    <n v="90"/>
    <x v="9"/>
  </r>
  <r>
    <d v="2023-09-06T00:00:00"/>
    <s v="Male"/>
    <n v="23"/>
    <s v="Beauty"/>
    <n v="3"/>
    <n v="25"/>
    <n v="75"/>
    <x v="9"/>
  </r>
  <r>
    <d v="2023-11-17T00:00:00"/>
    <s v="Female"/>
    <n v="35"/>
    <s v="Electronics"/>
    <n v="4"/>
    <n v="30"/>
    <n v="120"/>
    <x v="0"/>
  </r>
  <r>
    <d v="2023-05-03T00:00:00"/>
    <s v="Male"/>
    <n v="38"/>
    <s v="Clothing"/>
    <n v="3"/>
    <n v="30"/>
    <n v="90"/>
    <x v="3"/>
  </r>
  <r>
    <d v="2023-05-21T00:00:00"/>
    <s v="Male"/>
    <n v="59"/>
    <s v="Clothing"/>
    <n v="3"/>
    <n v="500"/>
    <n v="1500"/>
    <x v="3"/>
  </r>
  <r>
    <d v="2023-08-14T00:00:00"/>
    <s v="Male"/>
    <n v="53"/>
    <s v="Beauty"/>
    <n v="4"/>
    <n v="300"/>
    <n v="1200"/>
    <x v="8"/>
  </r>
  <r>
    <d v="2023-02-09T00:00:00"/>
    <s v="Female"/>
    <n v="58"/>
    <s v="Clothing"/>
    <n v="2"/>
    <n v="300"/>
    <n v="600"/>
    <x v="1"/>
  </r>
  <r>
    <d v="2024-01-01T00:00:00"/>
    <s v="Male"/>
    <n v="55"/>
    <s v="Electronics"/>
    <n v="1"/>
    <n v="30"/>
    <n v="30"/>
    <x v="12"/>
  </r>
  <r>
    <d v="2023-05-27T00:00:00"/>
    <s v="Male"/>
    <n v="51"/>
    <s v="Clothing"/>
    <n v="3"/>
    <n v="50"/>
    <n v="150"/>
    <x v="3"/>
  </r>
  <r>
    <d v="2023-05-01T00:00:00"/>
    <s v="Female"/>
    <n v="34"/>
    <s v="Beauty"/>
    <n v="2"/>
    <n v="50"/>
    <n v="100"/>
    <x v="3"/>
  </r>
  <r>
    <d v="2023-05-20T00:00:00"/>
    <s v="Male"/>
    <n v="54"/>
    <s v="Clothing"/>
    <n v="3"/>
    <n v="25"/>
    <n v="75"/>
    <x v="3"/>
  </r>
  <r>
    <d v="2023-06-21T00:00:00"/>
    <s v="Male"/>
    <n v="42"/>
    <s v="Clothing"/>
    <n v="3"/>
    <n v="25"/>
    <n v="75"/>
    <x v="10"/>
  </r>
  <r>
    <d v="2023-06-13T00:00:00"/>
    <s v="Female"/>
    <n v="55"/>
    <s v="Clothing"/>
    <n v="1"/>
    <n v="500"/>
    <n v="500"/>
    <x v="10"/>
  </r>
  <r>
    <d v="2023-10-04T00:00:00"/>
    <s v="Male"/>
    <n v="29"/>
    <s v="Beauty"/>
    <n v="3"/>
    <n v="30"/>
    <n v="90"/>
    <x v="7"/>
  </r>
  <r>
    <d v="2023-02-11T00:00:00"/>
    <s v="Male"/>
    <n v="40"/>
    <s v="Clothing"/>
    <n v="1"/>
    <n v="25"/>
    <n v="25"/>
    <x v="1"/>
  </r>
  <r>
    <d v="2023-03-12T00:00:00"/>
    <s v="Male"/>
    <n v="59"/>
    <s v="Clothing"/>
    <n v="1"/>
    <n v="25"/>
    <n v="25"/>
    <x v="5"/>
  </r>
  <r>
    <d v="2023-03-19T00:00:00"/>
    <s v="Female"/>
    <n v="39"/>
    <s v="Electronics"/>
    <n v="1"/>
    <n v="30"/>
    <n v="30"/>
    <x v="5"/>
  </r>
  <r>
    <d v="2023-04-29T00:00:00"/>
    <s v="Female"/>
    <n v="38"/>
    <s v="Beauty"/>
    <n v="2"/>
    <n v="500"/>
    <n v="1000"/>
    <x v="4"/>
  </r>
  <r>
    <d v="2023-07-16T00:00:00"/>
    <s v="Female"/>
    <n v="44"/>
    <s v="Clothing"/>
    <n v="4"/>
    <n v="25"/>
    <n v="100"/>
    <x v="11"/>
  </r>
  <r>
    <d v="2023-12-22T00:00:00"/>
    <s v="Male"/>
    <n v="48"/>
    <s v="Beauty"/>
    <n v="2"/>
    <n v="500"/>
    <n v="1000"/>
    <x v="6"/>
  </r>
  <r>
    <d v="2023-03-20T00:00:00"/>
    <s v="Male"/>
    <n v="23"/>
    <s v="Clothing"/>
    <n v="4"/>
    <n v="300"/>
    <n v="1200"/>
    <x v="5"/>
  </r>
  <r>
    <d v="2023-12-28T00:00:00"/>
    <s v="Female"/>
    <n v="44"/>
    <s v="Clothing"/>
    <n v="4"/>
    <n v="500"/>
    <n v="2000"/>
    <x v="6"/>
  </r>
  <r>
    <d v="2023-04-20T00:00:00"/>
    <s v="Male"/>
    <n v="57"/>
    <s v="Clothing"/>
    <n v="1"/>
    <n v="50"/>
    <n v="50"/>
    <x v="4"/>
  </r>
  <r>
    <d v="2023-02-02T00:00:00"/>
    <s v="Male"/>
    <n v="51"/>
    <s v="Electronics"/>
    <n v="3"/>
    <n v="50"/>
    <n v="150"/>
    <x v="1"/>
  </r>
  <r>
    <d v="2023-08-01T00:00:00"/>
    <s v="Female"/>
    <n v="29"/>
    <s v="Electronics"/>
    <n v="1"/>
    <n v="500"/>
    <n v="500"/>
    <x v="8"/>
  </r>
  <r>
    <d v="2023-07-28T00:00:00"/>
    <s v="Female"/>
    <n v="62"/>
    <s v="Electronics"/>
    <n v="3"/>
    <n v="50"/>
    <n v="150"/>
    <x v="11"/>
  </r>
  <r>
    <d v="2023-06-19T00:00:00"/>
    <s v="Male"/>
    <n v="24"/>
    <s v="Beauty"/>
    <n v="4"/>
    <n v="300"/>
    <n v="1200"/>
    <x v="10"/>
  </r>
  <r>
    <d v="2023-10-05T00:00:00"/>
    <s v="Male"/>
    <n v="27"/>
    <s v="Beauty"/>
    <n v="1"/>
    <n v="30"/>
    <n v="30"/>
    <x v="7"/>
  </r>
  <r>
    <d v="2023-08-27T00:00:00"/>
    <s v="Male"/>
    <n v="62"/>
    <s v="Electronics"/>
    <n v="3"/>
    <n v="50"/>
    <n v="150"/>
    <x v="8"/>
  </r>
  <r>
    <d v="2023-08-01T00:00:00"/>
    <s v="Female"/>
    <n v="34"/>
    <s v="Beauty"/>
    <n v="2"/>
    <n v="50"/>
    <n v="100"/>
    <x v="8"/>
  </r>
  <r>
    <d v="2023-02-01T00:00:00"/>
    <s v="Female"/>
    <n v="43"/>
    <s v="Clothing"/>
    <n v="3"/>
    <n v="500"/>
    <n v="1500"/>
    <x v="1"/>
  </r>
  <r>
    <d v="2023-04-16T00:00:00"/>
    <s v="Female"/>
    <n v="38"/>
    <s v="Clothing"/>
    <n v="1"/>
    <n v="300"/>
    <n v="300"/>
    <x v="4"/>
  </r>
  <r>
    <d v="2023-08-04T00:00:00"/>
    <s v="Female"/>
    <n v="45"/>
    <s v="Clothing"/>
    <n v="2"/>
    <n v="30"/>
    <n v="60"/>
    <x v="8"/>
  </r>
  <r>
    <d v="2023-07-19T00:00:00"/>
    <s v="Male"/>
    <n v="63"/>
    <s v="Electronics"/>
    <n v="3"/>
    <n v="500"/>
    <n v="1500"/>
    <x v="11"/>
  </r>
  <r>
    <d v="2023-10-27T00:00:00"/>
    <s v="Female"/>
    <n v="19"/>
    <s v="Beauty"/>
    <n v="3"/>
    <n v="500"/>
    <n v="1500"/>
    <x v="7"/>
  </r>
  <r>
    <d v="2023-12-23T00:00:00"/>
    <s v="Female"/>
    <n v="60"/>
    <s v="Electronics"/>
    <n v="3"/>
    <n v="300"/>
    <n v="900"/>
    <x v="6"/>
  </r>
  <r>
    <d v="2023-01-11T00:00:00"/>
    <s v="Female"/>
    <n v="18"/>
    <s v="Beauty"/>
    <n v="3"/>
    <n v="30"/>
    <n v="90"/>
    <x v="2"/>
  </r>
  <r>
    <d v="2023-10-22T00:00:00"/>
    <s v="Female"/>
    <n v="53"/>
    <s v="Clothing"/>
    <n v="3"/>
    <n v="300"/>
    <n v="900"/>
    <x v="7"/>
  </r>
  <r>
    <d v="2023-07-14T00:00:00"/>
    <s v="Female"/>
    <n v="43"/>
    <s v="Electronics"/>
    <n v="2"/>
    <n v="30"/>
    <n v="60"/>
    <x v="11"/>
  </r>
  <r>
    <d v="2023-09-02T00:00:00"/>
    <s v="Male"/>
    <n v="46"/>
    <s v="Beauty"/>
    <n v="4"/>
    <n v="300"/>
    <n v="1200"/>
    <x v="9"/>
  </r>
  <r>
    <d v="2023-01-04T00:00:00"/>
    <s v="Male"/>
    <n v="38"/>
    <s v="Beauty"/>
    <n v="2"/>
    <n v="500"/>
    <n v="1000"/>
    <x v="2"/>
  </r>
  <r>
    <d v="2023-06-30T00:00:00"/>
    <s v="Female"/>
    <n v="28"/>
    <s v="Clothing"/>
    <n v="2"/>
    <n v="500"/>
    <n v="1000"/>
    <x v="10"/>
  </r>
  <r>
    <d v="2023-06-02T00:00:00"/>
    <s v="Male"/>
    <n v="57"/>
    <s v="Electronics"/>
    <n v="2"/>
    <n v="25"/>
    <n v="50"/>
    <x v="10"/>
  </r>
  <r>
    <d v="2023-07-19T00:00:00"/>
    <s v="Female"/>
    <n v="28"/>
    <s v="Electronics"/>
    <n v="4"/>
    <n v="50"/>
    <n v="200"/>
    <x v="11"/>
  </r>
  <r>
    <d v="2023-08-03T00:00:00"/>
    <s v="Female"/>
    <n v="53"/>
    <s v="Electronics"/>
    <n v="1"/>
    <n v="300"/>
    <n v="300"/>
    <x v="8"/>
  </r>
  <r>
    <d v="2023-10-03T00:00:00"/>
    <s v="Male"/>
    <n v="56"/>
    <s v="Clothing"/>
    <n v="4"/>
    <n v="25"/>
    <n v="100"/>
    <x v="7"/>
  </r>
  <r>
    <d v="2023-10-07T00:00:00"/>
    <s v="Male"/>
    <n v="57"/>
    <s v="Electronics"/>
    <n v="2"/>
    <n v="50"/>
    <n v="100"/>
    <x v="7"/>
  </r>
  <r>
    <d v="2023-11-05T00:00:00"/>
    <s v="Female"/>
    <n v="52"/>
    <s v="Clothing"/>
    <n v="3"/>
    <n v="300"/>
    <n v="900"/>
    <x v="0"/>
  </r>
  <r>
    <d v="2023-04-23T00:00:00"/>
    <s v="Female"/>
    <n v="51"/>
    <s v="Clothing"/>
    <n v="3"/>
    <n v="30"/>
    <n v="90"/>
    <x v="4"/>
  </r>
  <r>
    <d v="2023-09-07T00:00:00"/>
    <s v="Female"/>
    <n v="64"/>
    <s v="Clothing"/>
    <n v="2"/>
    <n v="50"/>
    <n v="100"/>
    <x v="9"/>
  </r>
  <r>
    <d v="2023-04-23T00:00:00"/>
    <s v="Male"/>
    <n v="41"/>
    <s v="Beauty"/>
    <n v="3"/>
    <n v="500"/>
    <n v="1500"/>
    <x v="4"/>
  </r>
  <r>
    <d v="2023-05-20T00:00:00"/>
    <s v="Female"/>
    <n v="39"/>
    <s v="Electronics"/>
    <n v="2"/>
    <n v="25"/>
    <n v="50"/>
    <x v="3"/>
  </r>
  <r>
    <d v="2023-08-12T00:00:00"/>
    <s v="Female"/>
    <n v="22"/>
    <s v="Electronics"/>
    <n v="3"/>
    <n v="50"/>
    <n v="150"/>
    <x v="8"/>
  </r>
  <r>
    <d v="2023-09-06T00:00:00"/>
    <s v="Female"/>
    <n v="50"/>
    <s v="Clothing"/>
    <n v="4"/>
    <n v="50"/>
    <n v="200"/>
    <x v="9"/>
  </r>
  <r>
    <d v="2023-01-15T00:00:00"/>
    <s v="Male"/>
    <n v="53"/>
    <s v="Clothing"/>
    <n v="1"/>
    <n v="500"/>
    <n v="500"/>
    <x v="2"/>
  </r>
  <r>
    <d v="2023-07-19T00:00:00"/>
    <s v="Female"/>
    <n v="64"/>
    <s v="Electronics"/>
    <n v="1"/>
    <n v="300"/>
    <n v="300"/>
    <x v="11"/>
  </r>
  <r>
    <d v="2023-06-22T00:00:00"/>
    <s v="Female"/>
    <n v="37"/>
    <s v="Clothing"/>
    <n v="4"/>
    <n v="30"/>
    <n v="120"/>
    <x v="10"/>
  </r>
  <r>
    <d v="2023-12-09T00:00:00"/>
    <s v="Male"/>
    <n v="36"/>
    <s v="Electronics"/>
    <n v="4"/>
    <n v="500"/>
    <n v="2000"/>
    <x v="6"/>
  </r>
  <r>
    <d v="2023-12-14T00:00:00"/>
    <s v="Female"/>
    <n v="52"/>
    <s v="Beauty"/>
    <n v="2"/>
    <n v="30"/>
    <n v="60"/>
    <x v="6"/>
  </r>
  <r>
    <d v="2023-07-27T00:00:00"/>
    <s v="Female"/>
    <n v="60"/>
    <s v="Clothing"/>
    <n v="2"/>
    <n v="300"/>
    <n v="600"/>
    <x v="11"/>
  </r>
  <r>
    <d v="2023-03-26T00:00:00"/>
    <s v="Male"/>
    <n v="34"/>
    <s v="Electronics"/>
    <n v="2"/>
    <n v="50"/>
    <n v="100"/>
    <x v="5"/>
  </r>
  <r>
    <d v="2023-08-28T00:00:00"/>
    <s v="Female"/>
    <n v="62"/>
    <s v="Clothing"/>
    <n v="3"/>
    <n v="30"/>
    <n v="90"/>
    <x v="8"/>
  </r>
  <r>
    <d v="2023-03-07T00:00:00"/>
    <s v="Male"/>
    <n v="60"/>
    <s v="Electronics"/>
    <n v="2"/>
    <n v="25"/>
    <n v="50"/>
    <x v="5"/>
  </r>
  <r>
    <d v="2023-11-15T00:00:00"/>
    <s v="Male"/>
    <n v="51"/>
    <s v="Electronics"/>
    <n v="4"/>
    <n v="25"/>
    <n v="100"/>
    <x v="0"/>
  </r>
  <r>
    <d v="2023-10-01T00:00:00"/>
    <s v="Female"/>
    <n v="26"/>
    <s v="Clothing"/>
    <n v="1"/>
    <n v="500"/>
    <n v="500"/>
    <x v="7"/>
  </r>
  <r>
    <d v="2023-01-14T00:00:00"/>
    <s v="Female"/>
    <n v="43"/>
    <s v="Beauty"/>
    <n v="3"/>
    <n v="300"/>
    <n v="900"/>
    <x v="2"/>
  </r>
  <r>
    <d v="2023-07-21T00:00:00"/>
    <s v="Female"/>
    <n v="19"/>
    <s v="Electronics"/>
    <n v="2"/>
    <n v="500"/>
    <n v="1000"/>
    <x v="11"/>
  </r>
  <r>
    <d v="2023-10-31T00:00:00"/>
    <s v="Female"/>
    <n v="26"/>
    <s v="Electronics"/>
    <n v="3"/>
    <n v="500"/>
    <n v="1500"/>
    <x v="7"/>
  </r>
  <r>
    <d v="2023-10-16T00:00:00"/>
    <s v="Male"/>
    <n v="26"/>
    <s v="Electronics"/>
    <n v="3"/>
    <n v="500"/>
    <n v="1500"/>
    <x v="7"/>
  </r>
  <r>
    <d v="2023-12-06T00:00:00"/>
    <s v="Female"/>
    <n v="57"/>
    <s v="Beauty"/>
    <n v="2"/>
    <n v="25"/>
    <n v="50"/>
    <x v="6"/>
  </r>
  <r>
    <d v="2023-01-14T00:00:00"/>
    <s v="Male"/>
    <n v="34"/>
    <s v="Beauty"/>
    <n v="3"/>
    <n v="25"/>
    <n v="75"/>
    <x v="2"/>
  </r>
  <r>
    <d v="2023-02-12T00:00:00"/>
    <s v="Female"/>
    <n v="18"/>
    <s v="Clothing"/>
    <n v="1"/>
    <n v="500"/>
    <n v="500"/>
    <x v="1"/>
  </r>
  <r>
    <d v="2023-11-26T00:00:00"/>
    <s v="Female"/>
    <n v="42"/>
    <s v="Beauty"/>
    <n v="4"/>
    <n v="25"/>
    <n v="100"/>
    <x v="0"/>
  </r>
  <r>
    <d v="2023-08-08T00:00:00"/>
    <s v="Female"/>
    <n v="60"/>
    <s v="Clothing"/>
    <n v="4"/>
    <n v="300"/>
    <n v="1200"/>
    <x v="8"/>
  </r>
  <r>
    <d v="2023-03-11T00:00:00"/>
    <s v="Male"/>
    <n v="57"/>
    <s v="Clothing"/>
    <n v="1"/>
    <n v="500"/>
    <n v="500"/>
    <x v="5"/>
  </r>
  <r>
    <d v="2023-08-25T00:00:00"/>
    <s v="Female"/>
    <n v="59"/>
    <s v="Beauty"/>
    <n v="3"/>
    <n v="25"/>
    <n v="75"/>
    <x v="8"/>
  </r>
  <r>
    <d v="2023-04-04T00:00:00"/>
    <s v="Female"/>
    <n v="42"/>
    <s v="Clothing"/>
    <n v="2"/>
    <n v="30"/>
    <n v="60"/>
    <x v="4"/>
  </r>
  <r>
    <d v="2023-01-26T00:00:00"/>
    <s v="Female"/>
    <n v="56"/>
    <s v="Beauty"/>
    <n v="3"/>
    <n v="500"/>
    <n v="1500"/>
    <x v="2"/>
  </r>
  <r>
    <d v="2023-05-14T00:00:00"/>
    <s v="Female"/>
    <n v="52"/>
    <s v="Clothing"/>
    <n v="1"/>
    <n v="500"/>
    <n v="500"/>
    <x v="3"/>
  </r>
  <r>
    <d v="2023-07-14T00:00:00"/>
    <s v="Male"/>
    <n v="20"/>
    <s v="Beauty"/>
    <n v="3"/>
    <n v="300"/>
    <n v="900"/>
    <x v="11"/>
  </r>
  <r>
    <d v="2023-06-17T00:00:00"/>
    <s v="Female"/>
    <n v="54"/>
    <s v="Beauty"/>
    <n v="4"/>
    <n v="50"/>
    <n v="200"/>
    <x v="10"/>
  </r>
  <r>
    <d v="2023-04-19T00:00:00"/>
    <s v="Male"/>
    <n v="61"/>
    <s v="Clothing"/>
    <n v="3"/>
    <n v="50"/>
    <n v="150"/>
    <x v="4"/>
  </r>
  <r>
    <d v="2023-08-21T00:00:00"/>
    <s v="Male"/>
    <n v="61"/>
    <s v="Electronics"/>
    <n v="1"/>
    <n v="300"/>
    <n v="300"/>
    <x v="8"/>
  </r>
  <r>
    <d v="2023-06-17T00:00:00"/>
    <s v="Male"/>
    <n v="47"/>
    <s v="Clothing"/>
    <n v="4"/>
    <n v="300"/>
    <n v="1200"/>
    <x v="10"/>
  </r>
  <r>
    <d v="2023-06-22T00:00:00"/>
    <s v="Male"/>
    <n v="55"/>
    <s v="Beauty"/>
    <n v="3"/>
    <n v="300"/>
    <n v="900"/>
    <x v="10"/>
  </r>
  <r>
    <d v="2023-07-14T00:00:00"/>
    <s v="Male"/>
    <n v="51"/>
    <s v="Electronics"/>
    <n v="3"/>
    <n v="50"/>
    <n v="150"/>
    <x v="11"/>
  </r>
  <r>
    <d v="2023-05-23T00:00:00"/>
    <s v="Male"/>
    <n v="29"/>
    <s v="Clothing"/>
    <n v="4"/>
    <n v="300"/>
    <n v="1200"/>
    <x v="3"/>
  </r>
  <r>
    <d v="2023-08-04T00:00:00"/>
    <s v="Female"/>
    <n v="36"/>
    <s v="Clothing"/>
    <n v="2"/>
    <n v="25"/>
    <n v="50"/>
    <x v="8"/>
  </r>
  <r>
    <d v="2023-05-10T00:00:00"/>
    <s v="Male"/>
    <n v="54"/>
    <s v="Clothing"/>
    <n v="4"/>
    <n v="500"/>
    <n v="2000"/>
    <x v="3"/>
  </r>
  <r>
    <d v="2023-02-11T00:00:00"/>
    <s v="Male"/>
    <n v="61"/>
    <s v="Electronics"/>
    <n v="2"/>
    <n v="500"/>
    <n v="1000"/>
    <x v="1"/>
  </r>
  <r>
    <d v="2023-08-29T00:00:00"/>
    <s v="Male"/>
    <n v="34"/>
    <s v="Beauty"/>
    <n v="1"/>
    <n v="30"/>
    <n v="30"/>
    <x v="8"/>
  </r>
  <r>
    <d v="2023-01-10T00:00:00"/>
    <s v="Female"/>
    <n v="27"/>
    <s v="Clothing"/>
    <n v="1"/>
    <n v="30"/>
    <n v="30"/>
    <x v="2"/>
  </r>
  <r>
    <d v="2023-10-04T00:00:00"/>
    <s v="Female"/>
    <n v="64"/>
    <s v="Clothing"/>
    <n v="4"/>
    <n v="500"/>
    <n v="2000"/>
    <x v="7"/>
  </r>
  <r>
    <d v="2023-01-27T00:00:00"/>
    <s v="Male"/>
    <n v="29"/>
    <s v="Clothing"/>
    <n v="4"/>
    <n v="25"/>
    <n v="100"/>
    <x v="2"/>
  </r>
  <r>
    <d v="2023-06-29T00:00:00"/>
    <s v="Female"/>
    <n v="33"/>
    <s v="Clothing"/>
    <n v="1"/>
    <n v="50"/>
    <n v="50"/>
    <x v="10"/>
  </r>
  <r>
    <d v="2023-04-25T00:00:00"/>
    <s v="Male"/>
    <n v="41"/>
    <s v="Clothing"/>
    <n v="2"/>
    <n v="50"/>
    <n v="100"/>
    <x v="4"/>
  </r>
  <r>
    <d v="2023-11-29T00:00:00"/>
    <s v="Male"/>
    <n v="36"/>
    <s v="Beauty"/>
    <n v="1"/>
    <n v="25"/>
    <n v="25"/>
    <x v="0"/>
  </r>
  <r>
    <d v="2023-02-05T00:00:00"/>
    <s v="Female"/>
    <n v="25"/>
    <s v="Beauty"/>
    <n v="4"/>
    <n v="50"/>
    <n v="200"/>
    <x v="1"/>
  </r>
  <r>
    <d v="2023-11-30T00:00:00"/>
    <s v="Male"/>
    <n v="48"/>
    <s v="Clothing"/>
    <n v="1"/>
    <n v="300"/>
    <n v="300"/>
    <x v="0"/>
  </r>
  <r>
    <d v="2023-01-21T00:00:00"/>
    <s v="Female"/>
    <n v="38"/>
    <s v="Electronics"/>
    <n v="4"/>
    <n v="500"/>
    <n v="2000"/>
    <x v="2"/>
  </r>
  <r>
    <d v="2023-01-16T00:00:00"/>
    <s v="Female"/>
    <n v="34"/>
    <s v="Beauty"/>
    <n v="4"/>
    <n v="500"/>
    <n v="2000"/>
    <x v="2"/>
  </r>
  <r>
    <d v="2023-05-07T00:00:00"/>
    <s v="Male"/>
    <n v="40"/>
    <s v="Electronics"/>
    <n v="1"/>
    <n v="25"/>
    <n v="25"/>
    <x v="3"/>
  </r>
  <r>
    <d v="2023-04-13T00:00:00"/>
    <s v="Male"/>
    <n v="54"/>
    <s v="Beauty"/>
    <n v="2"/>
    <n v="50"/>
    <n v="100"/>
    <x v="4"/>
  </r>
  <r>
    <d v="2023-01-11T00:00:00"/>
    <s v="Female"/>
    <n v="33"/>
    <s v="Clothing"/>
    <n v="3"/>
    <n v="30"/>
    <n v="90"/>
    <x v="2"/>
  </r>
  <r>
    <d v="2023-11-15T00:00:00"/>
    <s v="Male"/>
    <n v="23"/>
    <s v="Beauty"/>
    <n v="1"/>
    <n v="30"/>
    <n v="30"/>
    <x v="0"/>
  </r>
  <r>
    <d v="2023-03-20T00:00:00"/>
    <s v="Male"/>
    <n v="25"/>
    <s v="Clothing"/>
    <n v="3"/>
    <n v="50"/>
    <n v="150"/>
    <x v="5"/>
  </r>
  <r>
    <d v="2023-05-03T00:00:00"/>
    <s v="Male"/>
    <n v="42"/>
    <s v="Beauty"/>
    <n v="1"/>
    <n v="30"/>
    <n v="30"/>
    <x v="3"/>
  </r>
  <r>
    <d v="2023-03-06T00:00:00"/>
    <s v="Female"/>
    <n v="35"/>
    <s v="Clothing"/>
    <n v="3"/>
    <n v="25"/>
    <n v="75"/>
    <x v="5"/>
  </r>
  <r>
    <d v="2023-08-31T00:00:00"/>
    <s v="Female"/>
    <n v="42"/>
    <s v="Clothing"/>
    <n v="2"/>
    <n v="25"/>
    <n v="50"/>
    <x v="8"/>
  </r>
  <r>
    <d v="2023-12-09T00:00:00"/>
    <s v="Male"/>
    <n v="29"/>
    <s v="Clothing"/>
    <n v="2"/>
    <n v="50"/>
    <n v="100"/>
    <x v="6"/>
  </r>
  <r>
    <d v="2023-02-28T00:00:00"/>
    <s v="Female"/>
    <n v="32"/>
    <s v="Clothing"/>
    <n v="1"/>
    <n v="30"/>
    <n v="30"/>
    <x v="1"/>
  </r>
  <r>
    <d v="2023-10-16T00:00:00"/>
    <s v="Female"/>
    <n v="43"/>
    <s v="Electronics"/>
    <n v="4"/>
    <n v="25"/>
    <n v="100"/>
    <x v="7"/>
  </r>
  <r>
    <d v="2023-04-22T00:00:00"/>
    <s v="Female"/>
    <n v="58"/>
    <s v="Clothing"/>
    <n v="3"/>
    <n v="25"/>
    <n v="75"/>
    <x v="4"/>
  </r>
  <r>
    <d v="2023-08-27T00:00:00"/>
    <s v="Female"/>
    <n v="62"/>
    <s v="Electronics"/>
    <n v="4"/>
    <n v="300"/>
    <n v="1200"/>
    <x v="8"/>
  </r>
  <r>
    <d v="2023-12-25T00:00:00"/>
    <s v="Female"/>
    <n v="43"/>
    <s v="Electronics"/>
    <n v="4"/>
    <n v="300"/>
    <n v="1200"/>
    <x v="6"/>
  </r>
  <r>
    <d v="2023-05-12T00:00:00"/>
    <s v="Male"/>
    <n v="64"/>
    <s v="Clothing"/>
    <n v="4"/>
    <n v="25"/>
    <n v="100"/>
    <x v="3"/>
  </r>
  <r>
    <d v="2023-07-08T00:00:00"/>
    <s v="Male"/>
    <n v="49"/>
    <s v="Electronics"/>
    <n v="2"/>
    <n v="50"/>
    <n v="100"/>
    <x v="11"/>
  </r>
  <r>
    <d v="2023-03-27T00:00:00"/>
    <s v="Male"/>
    <n v="27"/>
    <s v="Beauty"/>
    <n v="1"/>
    <n v="500"/>
    <n v="500"/>
    <x v="5"/>
  </r>
  <r>
    <d v="2023-11-07T00:00:00"/>
    <s v="Female"/>
    <n v="33"/>
    <s v="Clothing"/>
    <n v="1"/>
    <n v="500"/>
    <n v="500"/>
    <x v="0"/>
  </r>
  <r>
    <d v="2023-11-07T00:00:00"/>
    <s v="Female"/>
    <n v="24"/>
    <s v="Electronics"/>
    <n v="2"/>
    <n v="25"/>
    <n v="50"/>
    <x v="0"/>
  </r>
  <r>
    <d v="2023-02-28T00:00:00"/>
    <s v="Male"/>
    <n v="34"/>
    <s v="Clothing"/>
    <n v="2"/>
    <n v="25"/>
    <n v="50"/>
    <x v="1"/>
  </r>
  <r>
    <d v="2023-03-25T00:00:00"/>
    <s v="Female"/>
    <n v="40"/>
    <s v="Clothing"/>
    <n v="1"/>
    <n v="25"/>
    <n v="25"/>
    <x v="5"/>
  </r>
  <r>
    <d v="2023-06-09T00:00:00"/>
    <s v="Male"/>
    <n v="43"/>
    <s v="Clothing"/>
    <n v="4"/>
    <n v="50"/>
    <n v="200"/>
    <x v="10"/>
  </r>
  <r>
    <d v="2023-02-25T00:00:00"/>
    <s v="Male"/>
    <n v="38"/>
    <s v="Electronics"/>
    <n v="3"/>
    <n v="300"/>
    <n v="900"/>
    <x v="1"/>
  </r>
  <r>
    <d v="2023-10-24T00:00:00"/>
    <s v="Male"/>
    <n v="39"/>
    <s v="Beauty"/>
    <n v="3"/>
    <n v="25"/>
    <n v="75"/>
    <x v="7"/>
  </r>
  <r>
    <d v="2023-01-14T00:00:00"/>
    <s v="Female"/>
    <n v="24"/>
    <s v="Beauty"/>
    <n v="3"/>
    <n v="25"/>
    <n v="75"/>
    <x v="2"/>
  </r>
  <r>
    <d v="2023-06-09T00:00:00"/>
    <s v="Female"/>
    <n v="31"/>
    <s v="Electronics"/>
    <n v="4"/>
    <n v="30"/>
    <n v="120"/>
    <x v="10"/>
  </r>
  <r>
    <d v="2023-10-22T00:00:00"/>
    <s v="Male"/>
    <n v="32"/>
    <s v="Clothing"/>
    <n v="1"/>
    <n v="50"/>
    <n v="50"/>
    <x v="7"/>
  </r>
  <r>
    <d v="2023-12-13T00:00:00"/>
    <s v="Male"/>
    <n v="24"/>
    <s v="Electronics"/>
    <n v="2"/>
    <n v="25"/>
    <n v="50"/>
    <x v="6"/>
  </r>
  <r>
    <d v="2023-07-12T00:00:00"/>
    <s v="Male"/>
    <n v="26"/>
    <s v="Electronics"/>
    <n v="1"/>
    <n v="30"/>
    <n v="30"/>
    <x v="11"/>
  </r>
  <r>
    <d v="2023-07-23T00:00:00"/>
    <s v="Male"/>
    <n v="25"/>
    <s v="Electronics"/>
    <n v="4"/>
    <n v="500"/>
    <n v="2000"/>
    <x v="11"/>
  </r>
  <r>
    <d v="2023-04-12T00:00:00"/>
    <s v="Female"/>
    <n v="40"/>
    <s v="Clothing"/>
    <n v="2"/>
    <n v="25"/>
    <n v="50"/>
    <x v="4"/>
  </r>
  <r>
    <d v="2023-02-08T00:00:00"/>
    <s v="Female"/>
    <n v="46"/>
    <s v="Electronics"/>
    <n v="4"/>
    <n v="25"/>
    <n v="100"/>
    <x v="1"/>
  </r>
  <r>
    <d v="2023-10-31T00:00:00"/>
    <s v="Male"/>
    <n v="35"/>
    <s v="Clothing"/>
    <n v="3"/>
    <n v="30"/>
    <n v="90"/>
    <x v="7"/>
  </r>
  <r>
    <d v="2023-12-20T00:00:00"/>
    <s v="Male"/>
    <n v="48"/>
    <s v="Electronics"/>
    <n v="3"/>
    <n v="50"/>
    <n v="150"/>
    <x v="6"/>
  </r>
  <r>
    <d v="2023-11-18T00:00:00"/>
    <s v="Female"/>
    <n v="47"/>
    <s v="Beauty"/>
    <n v="4"/>
    <n v="25"/>
    <n v="100"/>
    <x v="0"/>
  </r>
  <r>
    <d v="2023-05-05T00:00:00"/>
    <s v="Female"/>
    <n v="56"/>
    <s v="Electronics"/>
    <n v="2"/>
    <n v="500"/>
    <n v="1000"/>
    <x v="3"/>
  </r>
  <r>
    <d v="2023-02-22T00:00:00"/>
    <s v="Male"/>
    <n v="52"/>
    <s v="Electronics"/>
    <n v="2"/>
    <n v="25"/>
    <n v="50"/>
    <x v="1"/>
  </r>
  <r>
    <d v="2023-12-23T00:00:00"/>
    <s v="Male"/>
    <n v="35"/>
    <s v="Beauty"/>
    <n v="1"/>
    <n v="500"/>
    <n v="500"/>
    <x v="6"/>
  </r>
  <r>
    <d v="2023-06-04T00:00:00"/>
    <s v="Male"/>
    <n v="59"/>
    <s v="Clothing"/>
    <n v="3"/>
    <n v="300"/>
    <n v="900"/>
    <x v="10"/>
  </r>
  <r>
    <d v="2023-12-17T00:00:00"/>
    <s v="Female"/>
    <n v="56"/>
    <s v="Clothing"/>
    <n v="1"/>
    <n v="300"/>
    <n v="300"/>
    <x v="6"/>
  </r>
  <r>
    <d v="2023-11-04T00:00:00"/>
    <s v="Female"/>
    <n v="34"/>
    <s v="Electronics"/>
    <n v="1"/>
    <n v="500"/>
    <n v="500"/>
    <x v="0"/>
  </r>
  <r>
    <d v="2023-03-03T00:00:00"/>
    <s v="Female"/>
    <n v="31"/>
    <s v="Beauty"/>
    <n v="4"/>
    <n v="50"/>
    <n v="200"/>
    <x v="5"/>
  </r>
  <r>
    <d v="2023-10-17T00:00:00"/>
    <s v="Male"/>
    <n v="48"/>
    <s v="Clothing"/>
    <n v="4"/>
    <n v="25"/>
    <n v="100"/>
    <x v="7"/>
  </r>
  <r>
    <d v="2023-01-22T00:00:00"/>
    <s v="Male"/>
    <n v="41"/>
    <s v="Electronics"/>
    <n v="1"/>
    <n v="25"/>
    <n v="25"/>
    <x v="2"/>
  </r>
  <r>
    <d v="2023-06-27T00:00:00"/>
    <s v="Female"/>
    <n v="52"/>
    <s v="Beauty"/>
    <n v="3"/>
    <n v="300"/>
    <n v="900"/>
    <x v="10"/>
  </r>
  <r>
    <d v="2023-09-30T00:00:00"/>
    <s v="Female"/>
    <n v="61"/>
    <s v="Clothing"/>
    <n v="4"/>
    <n v="500"/>
    <n v="2000"/>
    <x v="9"/>
  </r>
  <r>
    <d v="2023-08-08T00:00:00"/>
    <s v="Male"/>
    <n v="62"/>
    <s v="Clothing"/>
    <n v="1"/>
    <n v="25"/>
    <n v="25"/>
    <x v="8"/>
  </r>
  <r>
    <d v="2023-12-05T00:00:00"/>
    <s v="Female"/>
    <n v="51"/>
    <s v="Beauty"/>
    <n v="1"/>
    <n v="25"/>
    <n v="25"/>
    <x v="6"/>
  </r>
  <r>
    <d v="2023-07-09T00:00:00"/>
    <s v="Female"/>
    <n v="20"/>
    <s v="Beauty"/>
    <n v="1"/>
    <n v="50"/>
    <n v="50"/>
    <x v="11"/>
  </r>
  <r>
    <d v="2023-02-05T00:00:00"/>
    <s v="Male"/>
    <n v="54"/>
    <s v="Beauty"/>
    <n v="1"/>
    <n v="30"/>
    <n v="30"/>
    <x v="1"/>
  </r>
  <r>
    <d v="2023-09-17T00:00:00"/>
    <s v="Female"/>
    <n v="60"/>
    <s v="Beauty"/>
    <n v="1"/>
    <n v="300"/>
    <n v="300"/>
    <x v="9"/>
  </r>
  <r>
    <d v="2023-11-28T00:00:00"/>
    <s v="Male"/>
    <n v="57"/>
    <s v="Electronics"/>
    <n v="1"/>
    <n v="300"/>
    <n v="300"/>
    <x v="0"/>
  </r>
  <r>
    <d v="2023-06-24T00:00:00"/>
    <s v="Male"/>
    <n v="43"/>
    <s v="Beauty"/>
    <n v="4"/>
    <n v="30"/>
    <n v="120"/>
    <x v="10"/>
  </r>
  <r>
    <d v="2023-01-07T00:00:00"/>
    <s v="Male"/>
    <n v="40"/>
    <s v="Clothing"/>
    <n v="3"/>
    <n v="25"/>
    <n v="75"/>
    <x v="2"/>
  </r>
  <r>
    <d v="2023-08-04T00:00:00"/>
    <s v="Male"/>
    <n v="61"/>
    <s v="Clothing"/>
    <n v="1"/>
    <n v="50"/>
    <n v="50"/>
    <x v="8"/>
  </r>
  <r>
    <d v="2023-09-08T00:00:00"/>
    <s v="Male"/>
    <n v="56"/>
    <s v="Electronics"/>
    <n v="2"/>
    <n v="50"/>
    <n v="100"/>
    <x v="9"/>
  </r>
  <r>
    <d v="2023-02-24T00:00:00"/>
    <s v="Male"/>
    <n v="32"/>
    <s v="Clothing"/>
    <n v="4"/>
    <n v="300"/>
    <n v="1200"/>
    <x v="1"/>
  </r>
  <r>
    <d v="2023-08-10T00:00:00"/>
    <s v="Male"/>
    <n v="21"/>
    <s v="Clothing"/>
    <n v="4"/>
    <n v="50"/>
    <n v="200"/>
    <x v="8"/>
  </r>
  <r>
    <d v="2023-07-05T00:00:00"/>
    <s v="Female"/>
    <n v="46"/>
    <s v="Beauty"/>
    <n v="1"/>
    <n v="30"/>
    <n v="30"/>
    <x v="11"/>
  </r>
  <r>
    <d v="2023-11-22T00:00:00"/>
    <s v="Male"/>
    <n v="39"/>
    <s v="Clothing"/>
    <n v="4"/>
    <n v="25"/>
    <n v="100"/>
    <x v="0"/>
  </r>
  <r>
    <d v="2023-08-24T00:00:00"/>
    <s v="Male"/>
    <n v="42"/>
    <s v="Electronics"/>
    <n v="1"/>
    <n v="30"/>
    <n v="30"/>
    <x v="8"/>
  </r>
  <r>
    <d v="2023-12-29T00:00:00"/>
    <s v="Female"/>
    <n v="30"/>
    <s v="Beauty"/>
    <n v="3"/>
    <n v="500"/>
    <n v="1500"/>
    <x v="6"/>
  </r>
  <r>
    <d v="2023-03-20T00:00:00"/>
    <s v="Female"/>
    <n v="35"/>
    <s v="Beauty"/>
    <n v="3"/>
    <n v="300"/>
    <n v="900"/>
    <x v="5"/>
  </r>
  <r>
    <d v="2023-08-11T00:00:00"/>
    <s v="Female"/>
    <n v="50"/>
    <s v="Electronics"/>
    <n v="4"/>
    <n v="50"/>
    <n v="200"/>
    <x v="8"/>
  </r>
  <r>
    <d v="2023-04-01T00:00:00"/>
    <s v="Male"/>
    <n v="33"/>
    <s v="Beauty"/>
    <n v="4"/>
    <n v="500"/>
    <n v="2000"/>
    <x v="4"/>
  </r>
  <r>
    <d v="2023-09-25T00:00:00"/>
    <s v="Female"/>
    <n v="62"/>
    <s v="Beauty"/>
    <n v="2"/>
    <n v="50"/>
    <n v="100"/>
    <x v="9"/>
  </r>
  <r>
    <d v="2023-11-30T00:00:00"/>
    <s v="Male"/>
    <n v="59"/>
    <s v="Electronics"/>
    <n v="4"/>
    <n v="25"/>
    <n v="100"/>
    <x v="0"/>
  </r>
  <r>
    <d v="2023-05-19T00:00:00"/>
    <s v="Male"/>
    <n v="61"/>
    <s v="Beauty"/>
    <n v="2"/>
    <n v="25"/>
    <n v="50"/>
    <x v="3"/>
  </r>
  <r>
    <d v="2023-11-12T00:00:00"/>
    <s v="Male"/>
    <n v="19"/>
    <s v="Electronics"/>
    <n v="3"/>
    <n v="25"/>
    <n v="75"/>
    <x v="0"/>
  </r>
  <r>
    <d v="2023-10-03T00:00:00"/>
    <s v="Male"/>
    <n v="52"/>
    <s v="Electronics"/>
    <n v="3"/>
    <n v="50"/>
    <n v="150"/>
    <x v="7"/>
  </r>
  <r>
    <d v="2023-09-05T00:00:00"/>
    <s v="Female"/>
    <n v="59"/>
    <s v="Clothing"/>
    <n v="1"/>
    <n v="500"/>
    <n v="500"/>
    <x v="9"/>
  </r>
  <r>
    <d v="2023-08-27T00:00:00"/>
    <s v="Female"/>
    <n v="51"/>
    <s v="Clothing"/>
    <n v="3"/>
    <n v="25"/>
    <n v="75"/>
    <x v="8"/>
  </r>
  <r>
    <d v="2023-08-12T00:00:00"/>
    <s v="Male"/>
    <n v="47"/>
    <s v="Beauty"/>
    <n v="2"/>
    <n v="500"/>
    <n v="1000"/>
    <x v="8"/>
  </r>
  <r>
    <d v="2023-10-31T00:00:00"/>
    <s v="Male"/>
    <n v="30"/>
    <s v="Beauty"/>
    <n v="4"/>
    <n v="50"/>
    <n v="200"/>
    <x v="7"/>
  </r>
  <r>
    <d v="2023-05-18T00:00:00"/>
    <s v="Male"/>
    <n v="30"/>
    <s v="Electronics"/>
    <n v="1"/>
    <n v="500"/>
    <n v="500"/>
    <x v="3"/>
  </r>
  <r>
    <d v="2023-06-15T00:00:00"/>
    <s v="Female"/>
    <n v="35"/>
    <s v="Beauty"/>
    <n v="2"/>
    <n v="50"/>
    <n v="100"/>
    <x v="10"/>
  </r>
  <r>
    <d v="2023-05-06T00:00:00"/>
    <s v="Male"/>
    <n v="49"/>
    <s v="Electronics"/>
    <n v="4"/>
    <n v="50"/>
    <n v="200"/>
    <x v="3"/>
  </r>
  <r>
    <d v="2023-02-14T00:00:00"/>
    <s v="Male"/>
    <n v="49"/>
    <s v="Electronics"/>
    <n v="1"/>
    <n v="300"/>
    <n v="300"/>
    <x v="1"/>
  </r>
  <r>
    <d v="2023-05-23T00:00:00"/>
    <s v="Female"/>
    <n v="52"/>
    <s v="Beauty"/>
    <n v="3"/>
    <n v="50"/>
    <n v="150"/>
    <x v="3"/>
  </r>
  <r>
    <d v="2023-08-19T00:00:00"/>
    <s v="Female"/>
    <n v="56"/>
    <s v="Electronics"/>
    <n v="2"/>
    <n v="50"/>
    <n v="100"/>
    <x v="8"/>
  </r>
  <r>
    <d v="2023-05-05T00:00:00"/>
    <s v="Male"/>
    <n v="63"/>
    <s v="Clothing"/>
    <n v="4"/>
    <n v="30"/>
    <n v="120"/>
    <x v="3"/>
  </r>
  <r>
    <d v="2023-08-26T00:00:00"/>
    <s v="Female"/>
    <n v="46"/>
    <s v="Beauty"/>
    <n v="1"/>
    <n v="25"/>
    <n v="25"/>
    <x v="8"/>
  </r>
  <r>
    <d v="2023-10-19T00:00:00"/>
    <s v="Female"/>
    <n v="46"/>
    <s v="Clothing"/>
    <n v="1"/>
    <n v="300"/>
    <n v="300"/>
    <x v="7"/>
  </r>
  <r>
    <d v="2023-11-09T00:00:00"/>
    <s v="Male"/>
    <n v="61"/>
    <s v="Beauty"/>
    <n v="3"/>
    <n v="300"/>
    <n v="900"/>
    <x v="0"/>
  </r>
  <r>
    <d v="2023-12-09T00:00:00"/>
    <s v="Female"/>
    <n v="33"/>
    <s v="Electronics"/>
    <n v="4"/>
    <n v="300"/>
    <n v="1200"/>
    <x v="6"/>
  </r>
  <r>
    <d v="2023-07-14T00:00:00"/>
    <s v="Male"/>
    <n v="61"/>
    <s v="Beauty"/>
    <n v="3"/>
    <n v="30"/>
    <n v="90"/>
    <x v="11"/>
  </r>
  <r>
    <d v="2023-06-22T00:00:00"/>
    <s v="Female"/>
    <n v="64"/>
    <s v="Clothing"/>
    <n v="3"/>
    <n v="50"/>
    <n v="150"/>
    <x v="10"/>
  </r>
  <r>
    <d v="2023-01-15T00:00:00"/>
    <s v="Male"/>
    <n v="27"/>
    <s v="Electronics"/>
    <n v="4"/>
    <n v="25"/>
    <n v="100"/>
    <x v="2"/>
  </r>
  <r>
    <d v="2023-09-11T00:00:00"/>
    <s v="Male"/>
    <n v="47"/>
    <s v="Beauty"/>
    <n v="4"/>
    <n v="500"/>
    <n v="2000"/>
    <x v="9"/>
  </r>
  <r>
    <d v="2023-06-16T00:00:00"/>
    <s v="Male"/>
    <n v="42"/>
    <s v="Beauty"/>
    <n v="4"/>
    <n v="50"/>
    <n v="200"/>
    <x v="10"/>
  </r>
  <r>
    <d v="2023-04-04T00:00:00"/>
    <s v="Female"/>
    <n v="56"/>
    <s v="Beauty"/>
    <n v="2"/>
    <n v="30"/>
    <n v="60"/>
    <x v="4"/>
  </r>
  <r>
    <d v="2023-09-07T00:00:00"/>
    <s v="Male"/>
    <n v="37"/>
    <s v="Clothing"/>
    <n v="4"/>
    <n v="50"/>
    <n v="200"/>
    <x v="9"/>
  </r>
  <r>
    <d v="2023-04-19T00:00:00"/>
    <s v="Female"/>
    <n v="22"/>
    <s v="Clothing"/>
    <n v="1"/>
    <n v="50"/>
    <n v="50"/>
    <x v="4"/>
  </r>
  <r>
    <d v="2023-07-01T00:00:00"/>
    <s v="Male"/>
    <n v="18"/>
    <s v="Beauty"/>
    <n v="3"/>
    <n v="30"/>
    <n v="90"/>
    <x v="11"/>
  </r>
  <r>
    <d v="2023-05-13T00:00:00"/>
    <s v="Male"/>
    <n v="47"/>
    <s v="Electronics"/>
    <n v="2"/>
    <n v="300"/>
    <n v="600"/>
    <x v="3"/>
  </r>
  <r>
    <d v="2023-06-24T00:00:00"/>
    <s v="Female"/>
    <n v="20"/>
    <s v="Electronics"/>
    <n v="4"/>
    <n v="300"/>
    <n v="1200"/>
    <x v="10"/>
  </r>
  <r>
    <d v="2023-05-24T00:00:00"/>
    <s v="Male"/>
    <n v="62"/>
    <s v="Clothing"/>
    <n v="2"/>
    <n v="25"/>
    <n v="50"/>
    <x v="3"/>
  </r>
  <r>
    <d v="2023-11-02T00:00:00"/>
    <s v="Male"/>
    <n v="31"/>
    <s v="Electronics"/>
    <n v="4"/>
    <n v="25"/>
    <n v="100"/>
    <x v="0"/>
  </r>
  <r>
    <d v="2023-12-26T00:00:00"/>
    <s v="Female"/>
    <n v="47"/>
    <s v="Clothing"/>
    <n v="2"/>
    <n v="300"/>
    <n v="600"/>
    <x v="6"/>
  </r>
  <r>
    <d v="2023-05-22T00:00:00"/>
    <s v="Male"/>
    <n v="21"/>
    <s v="Beauty"/>
    <n v="3"/>
    <n v="500"/>
    <n v="1500"/>
    <x v="3"/>
  </r>
  <r>
    <d v="2023-10-12T00:00:00"/>
    <s v="Male"/>
    <n v="35"/>
    <s v="Clothing"/>
    <n v="3"/>
    <n v="50"/>
    <n v="150"/>
    <x v="7"/>
  </r>
  <r>
    <d v="2023-01-06T00:00:00"/>
    <s v="Male"/>
    <n v="54"/>
    <s v="Clothing"/>
    <n v="1"/>
    <n v="500"/>
    <n v="500"/>
    <x v="2"/>
  </r>
  <r>
    <d v="2023-09-22T00:00:00"/>
    <s v="Male"/>
    <n v="42"/>
    <s v="Beauty"/>
    <n v="1"/>
    <n v="50"/>
    <n v="50"/>
    <x v="9"/>
  </r>
  <r>
    <d v="2023-04-08T00:00:00"/>
    <s v="Female"/>
    <n v="18"/>
    <s v="Electronics"/>
    <n v="4"/>
    <n v="300"/>
    <n v="1200"/>
    <x v="4"/>
  </r>
  <r>
    <d v="2023-02-13T00:00:00"/>
    <s v="Female"/>
    <n v="63"/>
    <s v="Clothing"/>
    <n v="3"/>
    <n v="25"/>
    <n v="75"/>
    <x v="1"/>
  </r>
  <r>
    <d v="2023-05-04T00:00:00"/>
    <s v="Male"/>
    <n v="32"/>
    <s v="Clothing"/>
    <n v="2"/>
    <n v="25"/>
    <n v="50"/>
    <x v="3"/>
  </r>
  <r>
    <d v="2023-07-28T00:00:00"/>
    <s v="Female"/>
    <n v="26"/>
    <s v="Beauty"/>
    <n v="2"/>
    <n v="500"/>
    <n v="1000"/>
    <x v="11"/>
  </r>
  <r>
    <d v="2023-09-08T00:00:00"/>
    <s v="Male"/>
    <n v="32"/>
    <s v="Electronics"/>
    <n v="2"/>
    <n v="25"/>
    <n v="50"/>
    <x v="9"/>
  </r>
  <r>
    <d v="2023-10-12T00:00:00"/>
    <s v="Female"/>
    <n v="41"/>
    <s v="Clothing"/>
    <n v="1"/>
    <n v="300"/>
    <n v="300"/>
    <x v="7"/>
  </r>
  <r>
    <d v="2023-05-04T00:00:00"/>
    <s v="Male"/>
    <n v="21"/>
    <s v="Beauty"/>
    <n v="2"/>
    <n v="500"/>
    <n v="1000"/>
    <x v="3"/>
  </r>
  <r>
    <d v="2023-12-20T00:00:00"/>
    <s v="Male"/>
    <n v="29"/>
    <s v="Clothing"/>
    <n v="1"/>
    <n v="50"/>
    <n v="50"/>
    <x v="6"/>
  </r>
  <r>
    <d v="2023-09-01T00:00:00"/>
    <s v="Male"/>
    <n v="54"/>
    <s v="Beauty"/>
    <n v="1"/>
    <n v="25"/>
    <n v="25"/>
    <x v="9"/>
  </r>
  <r>
    <d v="2023-11-27T00:00:00"/>
    <s v="Male"/>
    <n v="54"/>
    <s v="Electronics"/>
    <n v="4"/>
    <n v="30"/>
    <n v="120"/>
    <x v="0"/>
  </r>
  <r>
    <d v="2023-12-31T00:00:00"/>
    <s v="Male"/>
    <n v="60"/>
    <s v="Electronics"/>
    <n v="2"/>
    <n v="25"/>
    <n v="50"/>
    <x v="6"/>
  </r>
  <r>
    <d v="2023-09-09T00:00:00"/>
    <s v="Male"/>
    <n v="23"/>
    <s v="Electronics"/>
    <n v="2"/>
    <n v="50"/>
    <n v="100"/>
    <x v="9"/>
  </r>
  <r>
    <d v="2023-08-18T00:00:00"/>
    <s v="Female"/>
    <n v="56"/>
    <s v="Electronics"/>
    <n v="3"/>
    <n v="500"/>
    <n v="1500"/>
    <x v="8"/>
  </r>
  <r>
    <d v="2023-01-09T00:00:00"/>
    <s v="Male"/>
    <n v="63"/>
    <s v="Clothing"/>
    <n v="4"/>
    <n v="50"/>
    <n v="200"/>
    <x v="2"/>
  </r>
  <r>
    <d v="2023-02-17T00:00:00"/>
    <s v="Female"/>
    <n v="41"/>
    <s v="Clothing"/>
    <n v="3"/>
    <n v="30"/>
    <n v="90"/>
    <x v="1"/>
  </r>
  <r>
    <d v="2023-05-31T00:00:00"/>
    <s v="Male"/>
    <n v="28"/>
    <s v="Electronics"/>
    <n v="4"/>
    <n v="300"/>
    <n v="1200"/>
    <x v="3"/>
  </r>
  <r>
    <d v="2023-04-24T00:00:00"/>
    <s v="Female"/>
    <n v="30"/>
    <s v="Electronics"/>
    <n v="2"/>
    <n v="25"/>
    <n v="50"/>
    <x v="4"/>
  </r>
  <r>
    <d v="2023-07-27T00:00:00"/>
    <s v="Female"/>
    <n v="51"/>
    <s v="Electronics"/>
    <n v="1"/>
    <n v="500"/>
    <n v="500"/>
    <x v="11"/>
  </r>
  <r>
    <d v="2023-12-21T00:00:00"/>
    <s v="Female"/>
    <n v="42"/>
    <s v="Clothing"/>
    <n v="1"/>
    <n v="300"/>
    <n v="300"/>
    <x v="6"/>
  </r>
  <r>
    <d v="2023-05-05T00:00:00"/>
    <s v="Male"/>
    <n v="24"/>
    <s v="Electronics"/>
    <n v="1"/>
    <n v="50"/>
    <n v="50"/>
    <x v="3"/>
  </r>
  <r>
    <d v="2023-06-06T00:00:00"/>
    <s v="Male"/>
    <n v="21"/>
    <s v="Electronics"/>
    <n v="1"/>
    <n v="500"/>
    <n v="500"/>
    <x v="10"/>
  </r>
  <r>
    <d v="2023-12-06T00:00:00"/>
    <s v="Female"/>
    <n v="25"/>
    <s v="Electronics"/>
    <n v="1"/>
    <n v="300"/>
    <n v="300"/>
    <x v="6"/>
  </r>
  <r>
    <d v="2023-10-25T00:00:00"/>
    <s v="Male"/>
    <n v="37"/>
    <s v="Beauty"/>
    <n v="3"/>
    <n v="500"/>
    <n v="1500"/>
    <x v="7"/>
  </r>
  <r>
    <d v="2023-07-08T00:00:00"/>
    <s v="Female"/>
    <n v="46"/>
    <s v="Electronics"/>
    <n v="4"/>
    <n v="30"/>
    <n v="120"/>
    <x v="11"/>
  </r>
  <r>
    <d v="2023-08-31T00:00:00"/>
    <s v="Male"/>
    <n v="62"/>
    <s v="Beauty"/>
    <n v="2"/>
    <n v="30"/>
    <n v="60"/>
    <x v="8"/>
  </r>
  <r>
    <d v="2023-10-11T00:00:00"/>
    <s v="Female"/>
    <n v="63"/>
    <s v="Beauty"/>
    <n v="3"/>
    <n v="25"/>
    <n v="75"/>
    <x v="7"/>
  </r>
  <r>
    <d v="2023-09-29T00:00:00"/>
    <s v="Female"/>
    <n v="27"/>
    <s v="Electronics"/>
    <n v="4"/>
    <n v="25"/>
    <n v="100"/>
    <x v="9"/>
  </r>
  <r>
    <d v="2023-06-26T00:00:00"/>
    <s v="Male"/>
    <n v="60"/>
    <s v="Beauty"/>
    <n v="1"/>
    <n v="30"/>
    <n v="30"/>
    <x v="10"/>
  </r>
  <r>
    <d v="2023-08-06T00:00:00"/>
    <s v="Female"/>
    <n v="51"/>
    <s v="Electronics"/>
    <n v="4"/>
    <n v="500"/>
    <n v="2000"/>
    <x v="8"/>
  </r>
  <r>
    <d v="2023-10-09T00:00:00"/>
    <s v="Male"/>
    <n v="43"/>
    <s v="Clothing"/>
    <n v="4"/>
    <n v="30"/>
    <n v="120"/>
    <x v="7"/>
  </r>
  <r>
    <d v="2023-06-19T00:00:00"/>
    <s v="Female"/>
    <n v="58"/>
    <s v="Clothing"/>
    <n v="1"/>
    <n v="25"/>
    <n v="25"/>
    <x v="10"/>
  </r>
  <r>
    <d v="2023-06-30T00:00:00"/>
    <s v="Female"/>
    <n v="20"/>
    <s v="Clothing"/>
    <n v="1"/>
    <n v="30"/>
    <n v="30"/>
    <x v="10"/>
  </r>
  <r>
    <d v="2023-12-26T00:00:00"/>
    <s v="Male"/>
    <n v="23"/>
    <s v="Clothing"/>
    <n v="1"/>
    <n v="30"/>
    <n v="30"/>
    <x v="6"/>
  </r>
  <r>
    <d v="2023-08-21T00:00:00"/>
    <s v="Male"/>
    <n v="22"/>
    <s v="Beauty"/>
    <n v="2"/>
    <n v="500"/>
    <n v="1000"/>
    <x v="8"/>
  </r>
  <r>
    <d v="2023-05-19T00:00:00"/>
    <s v="Male"/>
    <n v="22"/>
    <s v="Electronics"/>
    <n v="1"/>
    <n v="300"/>
    <n v="300"/>
    <x v="3"/>
  </r>
  <r>
    <d v="2023-06-06T00:00:00"/>
    <s v="Female"/>
    <n v="64"/>
    <s v="Electronics"/>
    <n v="2"/>
    <n v="25"/>
    <n v="50"/>
    <x v="10"/>
  </r>
  <r>
    <d v="2023-05-09T00:00:00"/>
    <s v="Male"/>
    <n v="40"/>
    <s v="Electronics"/>
    <n v="1"/>
    <n v="500"/>
    <n v="500"/>
    <x v="3"/>
  </r>
  <r>
    <d v="2023-04-29T00:00:00"/>
    <s v="Female"/>
    <n v="26"/>
    <s v="Clothing"/>
    <n v="2"/>
    <n v="30"/>
    <n v="60"/>
    <x v="4"/>
  </r>
  <r>
    <d v="2023-03-03T00:00:00"/>
    <s v="Female"/>
    <n v="52"/>
    <s v="Clothing"/>
    <n v="4"/>
    <n v="30"/>
    <n v="120"/>
    <x v="5"/>
  </r>
  <r>
    <d v="2023-04-09T00:00:00"/>
    <s v="Male"/>
    <n v="37"/>
    <s v="Electronics"/>
    <n v="3"/>
    <n v="300"/>
    <n v="900"/>
    <x v="4"/>
  </r>
  <r>
    <d v="2023-06-11T00:00:00"/>
    <s v="Male"/>
    <n v="59"/>
    <s v="Clothing"/>
    <n v="4"/>
    <n v="25"/>
    <n v="100"/>
    <x v="10"/>
  </r>
  <r>
    <d v="2023-03-03T00:00:00"/>
    <s v="Female"/>
    <n v="52"/>
    <s v="Electronics"/>
    <n v="4"/>
    <n v="25"/>
    <n v="100"/>
    <x v="5"/>
  </r>
  <r>
    <d v="2023-10-02T00:00:00"/>
    <s v="Female"/>
    <n v="35"/>
    <s v="Electronics"/>
    <n v="1"/>
    <n v="50"/>
    <n v="50"/>
    <x v="7"/>
  </r>
  <r>
    <d v="2023-12-20T00:00:00"/>
    <s v="Male"/>
    <n v="34"/>
    <s v="Electronics"/>
    <n v="2"/>
    <n v="25"/>
    <n v="50"/>
    <x v="6"/>
  </r>
  <r>
    <d v="2023-04-05T00:00:00"/>
    <s v="Male"/>
    <n v="41"/>
    <s v="Electronics"/>
    <n v="3"/>
    <n v="300"/>
    <n v="900"/>
    <x v="4"/>
  </r>
  <r>
    <d v="2023-04-09T00:00:00"/>
    <s v="Male"/>
    <n v="20"/>
    <s v="Electronics"/>
    <n v="1"/>
    <n v="50"/>
    <n v="50"/>
    <x v="4"/>
  </r>
  <r>
    <d v="2023-04-21T00:00:00"/>
    <s v="Male"/>
    <n v="49"/>
    <s v="Electronics"/>
    <n v="1"/>
    <n v="50"/>
    <n v="50"/>
    <x v="4"/>
  </r>
  <r>
    <d v="2023-09-05T00:00:00"/>
    <s v="Male"/>
    <n v="52"/>
    <s v="Electronics"/>
    <n v="1"/>
    <n v="30"/>
    <n v="30"/>
    <x v="9"/>
  </r>
  <r>
    <d v="2023-05-22T00:00:00"/>
    <s v="Female"/>
    <n v="55"/>
    <s v="Clothing"/>
    <n v="4"/>
    <n v="30"/>
    <n v="120"/>
    <x v="3"/>
  </r>
  <r>
    <d v="2023-10-29T00:00:00"/>
    <s v="Female"/>
    <n v="30"/>
    <s v="Electronics"/>
    <n v="2"/>
    <n v="25"/>
    <n v="50"/>
    <x v="7"/>
  </r>
  <r>
    <d v="2023-09-26T00:00:00"/>
    <s v="Female"/>
    <n v="64"/>
    <s v="Electronics"/>
    <n v="2"/>
    <n v="50"/>
    <n v="100"/>
    <x v="9"/>
  </r>
  <r>
    <d v="2023-11-02T00:00:00"/>
    <s v="Female"/>
    <n v="42"/>
    <s v="Clothing"/>
    <n v="3"/>
    <n v="30"/>
    <n v="90"/>
    <x v="0"/>
  </r>
  <r>
    <d v="2023-05-25T00:00:00"/>
    <s v="Male"/>
    <n v="26"/>
    <s v="Clothing"/>
    <n v="2"/>
    <n v="300"/>
    <n v="600"/>
    <x v="3"/>
  </r>
  <r>
    <d v="2023-02-21T00:00:00"/>
    <s v="Male"/>
    <n v="21"/>
    <s v="Clothing"/>
    <n v="2"/>
    <n v="30"/>
    <n v="60"/>
    <x v="1"/>
  </r>
  <r>
    <d v="2023-04-10T00:00:00"/>
    <s v="Male"/>
    <n v="31"/>
    <s v="Electronics"/>
    <n v="1"/>
    <n v="30"/>
    <n v="30"/>
    <x v="4"/>
  </r>
  <r>
    <d v="2023-06-01T00:00:00"/>
    <s v="Female"/>
    <n v="54"/>
    <s v="Beauty"/>
    <n v="1"/>
    <n v="50"/>
    <n v="50"/>
    <x v="10"/>
  </r>
  <r>
    <d v="2023-04-27T00:00:00"/>
    <s v="Female"/>
    <n v="51"/>
    <s v="Beauty"/>
    <n v="4"/>
    <n v="50"/>
    <n v="200"/>
    <x v="4"/>
  </r>
  <r>
    <d v="2023-07-04T00:00:00"/>
    <s v="Male"/>
    <n v="28"/>
    <s v="Clothing"/>
    <n v="1"/>
    <n v="500"/>
    <n v="500"/>
    <x v="11"/>
  </r>
  <r>
    <d v="2023-04-02T00:00:00"/>
    <s v="Male"/>
    <n v="58"/>
    <s v="Beauty"/>
    <n v="1"/>
    <n v="300"/>
    <n v="300"/>
    <x v="4"/>
  </r>
  <r>
    <d v="2023-06-04T00:00:00"/>
    <s v="Female"/>
    <n v="20"/>
    <s v="Clothing"/>
    <n v="1"/>
    <n v="50"/>
    <n v="50"/>
    <x v="10"/>
  </r>
  <r>
    <d v="2023-01-08T00:00:00"/>
    <s v="Female"/>
    <n v="45"/>
    <s v="Electronics"/>
    <n v="1"/>
    <n v="25"/>
    <n v="25"/>
    <x v="2"/>
  </r>
  <r>
    <d v="2023-12-29T00:00:00"/>
    <s v="Male"/>
    <n v="46"/>
    <s v="Beauty"/>
    <n v="4"/>
    <n v="300"/>
    <n v="1200"/>
    <x v="6"/>
  </r>
  <r>
    <d v="2023-10-01T00:00:00"/>
    <s v="Male"/>
    <n v="26"/>
    <s v="Electronics"/>
    <n v="1"/>
    <n v="300"/>
    <n v="300"/>
    <x v="7"/>
  </r>
  <r>
    <d v="2023-03-06T00:00:00"/>
    <s v="Female"/>
    <n v="20"/>
    <s v="Beauty"/>
    <n v="3"/>
    <n v="50"/>
    <n v="150"/>
    <x v="5"/>
  </r>
  <r>
    <d v="2023-05-21T00:00:00"/>
    <s v="Male"/>
    <n v="42"/>
    <s v="Electronics"/>
    <n v="3"/>
    <n v="300"/>
    <n v="900"/>
    <x v="3"/>
  </r>
  <r>
    <d v="2023-01-24T00:00:00"/>
    <s v="Male"/>
    <n v="51"/>
    <s v="Beauty"/>
    <n v="3"/>
    <n v="50"/>
    <n v="150"/>
    <x v="2"/>
  </r>
  <r>
    <d v="2023-01-28T00:00:00"/>
    <s v="Male"/>
    <n v="29"/>
    <s v="Electronics"/>
    <n v="3"/>
    <n v="30"/>
    <n v="90"/>
    <x v="2"/>
  </r>
  <r>
    <d v="2023-10-11T00:00:00"/>
    <s v="Female"/>
    <n v="59"/>
    <s v="Electronics"/>
    <n v="1"/>
    <n v="500"/>
    <n v="500"/>
    <x v="7"/>
  </r>
  <r>
    <d v="2023-05-30T00:00:00"/>
    <s v="Female"/>
    <n v="26"/>
    <s v="Beauty"/>
    <n v="3"/>
    <n v="30"/>
    <n v="90"/>
    <x v="3"/>
  </r>
  <r>
    <d v="2023-12-24T00:00:00"/>
    <s v="Female"/>
    <n v="32"/>
    <s v="Electronics"/>
    <n v="1"/>
    <n v="50"/>
    <n v="50"/>
    <x v="6"/>
  </r>
  <r>
    <d v="2023-03-06T00:00:00"/>
    <s v="Female"/>
    <n v="57"/>
    <s v="Electronics"/>
    <n v="4"/>
    <n v="50"/>
    <n v="200"/>
    <x v="5"/>
  </r>
  <r>
    <d v="2023-11-23T00:00:00"/>
    <s v="Female"/>
    <n v="42"/>
    <s v="Electronics"/>
    <n v="3"/>
    <n v="30"/>
    <n v="90"/>
    <x v="0"/>
  </r>
  <r>
    <d v="2023-09-09T00:00:00"/>
    <s v="Female"/>
    <n v="22"/>
    <s v="Beauty"/>
    <n v="2"/>
    <n v="25"/>
    <n v="50"/>
    <x v="9"/>
  </r>
  <r>
    <d v="2023-02-22T00:00:00"/>
    <s v="Female"/>
    <n v="28"/>
    <s v="Beauty"/>
    <n v="3"/>
    <n v="25"/>
    <n v="75"/>
    <x v="1"/>
  </r>
  <r>
    <d v="2023-01-07T00:00:00"/>
    <s v="Male"/>
    <n v="51"/>
    <s v="Electronics"/>
    <n v="3"/>
    <n v="25"/>
    <n v="75"/>
    <x v="2"/>
  </r>
  <r>
    <d v="2023-10-21T00:00:00"/>
    <s v="Male"/>
    <n v="41"/>
    <s v="Electronics"/>
    <n v="1"/>
    <n v="50"/>
    <n v="50"/>
    <x v="7"/>
  </r>
  <r>
    <d v="2023-05-26T00:00:00"/>
    <s v="Male"/>
    <n v="32"/>
    <s v="Beauty"/>
    <n v="3"/>
    <n v="300"/>
    <n v="900"/>
    <x v="3"/>
  </r>
  <r>
    <d v="2023-08-29T00:00:00"/>
    <s v="Male"/>
    <n v="55"/>
    <s v="Beauty"/>
    <n v="2"/>
    <n v="50"/>
    <n v="100"/>
    <x v="8"/>
  </r>
  <r>
    <d v="2023-09-03T00:00:00"/>
    <s v="Male"/>
    <n v="25"/>
    <s v="Electronics"/>
    <n v="1"/>
    <n v="300"/>
    <n v="300"/>
    <x v="9"/>
  </r>
  <r>
    <d v="2023-08-14T00:00:00"/>
    <s v="Male"/>
    <n v="22"/>
    <s v="Electronics"/>
    <n v="1"/>
    <n v="30"/>
    <n v="30"/>
    <x v="8"/>
  </r>
  <r>
    <d v="2023-06-24T00:00:00"/>
    <s v="Male"/>
    <n v="43"/>
    <s v="Electronics"/>
    <n v="4"/>
    <n v="500"/>
    <n v="2000"/>
    <x v="10"/>
  </r>
  <r>
    <d v="2023-04-05T00:00:00"/>
    <s v="Female"/>
    <n v="35"/>
    <s v="Clothing"/>
    <n v="4"/>
    <n v="300"/>
    <n v="1200"/>
    <x v="4"/>
  </r>
  <r>
    <d v="2023-01-27T00:00:00"/>
    <s v="Female"/>
    <n v="23"/>
    <s v="Beauty"/>
    <n v="3"/>
    <n v="25"/>
    <n v="75"/>
    <x v="2"/>
  </r>
  <r>
    <d v="2023-05-10T00:00:00"/>
    <s v="Male"/>
    <n v="54"/>
    <s v="Clothing"/>
    <n v="4"/>
    <n v="50"/>
    <n v="200"/>
    <x v="3"/>
  </r>
  <r>
    <d v="2023-09-02T00:00:00"/>
    <s v="Male"/>
    <n v="30"/>
    <s v="Beauty"/>
    <n v="4"/>
    <n v="30"/>
    <n v="120"/>
    <x v="9"/>
  </r>
  <r>
    <d v="2023-02-28T00:00:00"/>
    <s v="Female"/>
    <n v="45"/>
    <s v="Beauty"/>
    <n v="4"/>
    <n v="25"/>
    <n v="100"/>
    <x v="1"/>
  </r>
  <r>
    <d v="2023-02-03T00:00:00"/>
    <s v="Male"/>
    <n v="22"/>
    <s v="Beauty"/>
    <n v="1"/>
    <n v="30"/>
    <n v="30"/>
    <x v="1"/>
  </r>
  <r>
    <d v="2023-07-25T00:00:00"/>
    <s v="Male"/>
    <n v="30"/>
    <s v="Beauty"/>
    <n v="1"/>
    <n v="500"/>
    <n v="500"/>
    <x v="11"/>
  </r>
  <r>
    <d v="2023-09-09T00:00:00"/>
    <s v="Female"/>
    <n v="34"/>
    <s v="Beauty"/>
    <n v="1"/>
    <n v="50"/>
    <n v="50"/>
    <x v="9"/>
  </r>
  <r>
    <d v="2023-02-07T00:00:00"/>
    <s v="Male"/>
    <n v="57"/>
    <s v="Beauty"/>
    <n v="4"/>
    <n v="50"/>
    <n v="200"/>
    <x v="1"/>
  </r>
  <r>
    <d v="2023-10-23T00:00:00"/>
    <s v="Female"/>
    <n v="62"/>
    <s v="Beauty"/>
    <n v="1"/>
    <n v="500"/>
    <n v="500"/>
    <x v="7"/>
  </r>
  <r>
    <d v="2023-11-19T00:00:00"/>
    <s v="Male"/>
    <n v="49"/>
    <s v="Clothing"/>
    <n v="4"/>
    <n v="50"/>
    <n v="200"/>
    <x v="0"/>
  </r>
  <r>
    <d v="2023-12-18T00:00:00"/>
    <s v="Female"/>
    <n v="46"/>
    <s v="Electronics"/>
    <n v="1"/>
    <n v="300"/>
    <n v="300"/>
    <x v="6"/>
  </r>
  <r>
    <d v="2023-01-28T00:00:00"/>
    <s v="Female"/>
    <n v="20"/>
    <s v="Electronics"/>
    <n v="1"/>
    <n v="30"/>
    <n v="30"/>
    <x v="2"/>
  </r>
  <r>
    <d v="2023-03-19T00:00:00"/>
    <s v="Female"/>
    <n v="57"/>
    <s v="Clothing"/>
    <n v="2"/>
    <n v="25"/>
    <n v="50"/>
    <x v="5"/>
  </r>
  <r>
    <d v="2023-03-18T00:00:00"/>
    <s v="Male"/>
    <n v="51"/>
    <s v="Clothing"/>
    <n v="3"/>
    <n v="500"/>
    <n v="1500"/>
    <x v="5"/>
  </r>
  <r>
    <d v="2023-10-16T00:00:00"/>
    <s v="Female"/>
    <n v="57"/>
    <s v="Clothing"/>
    <n v="4"/>
    <n v="300"/>
    <n v="1200"/>
    <x v="7"/>
  </r>
  <r>
    <d v="2023-06-05T00:00:00"/>
    <s v="Male"/>
    <n v="44"/>
    <s v="Clothing"/>
    <n v="2"/>
    <n v="25"/>
    <n v="50"/>
    <x v="10"/>
  </r>
  <r>
    <d v="2023-02-13T00:00:00"/>
    <s v="Male"/>
    <n v="30"/>
    <s v="Beauty"/>
    <n v="1"/>
    <n v="25"/>
    <n v="25"/>
    <x v="1"/>
  </r>
  <r>
    <d v="2023-05-08T00:00:00"/>
    <s v="Male"/>
    <n v="62"/>
    <s v="Electronics"/>
    <n v="4"/>
    <n v="500"/>
    <n v="2000"/>
    <x v="3"/>
  </r>
  <r>
    <d v="2023-03-02T00:00:00"/>
    <s v="Male"/>
    <n v="50"/>
    <s v="Beauty"/>
    <n v="1"/>
    <n v="300"/>
    <n v="300"/>
    <x v="5"/>
  </r>
  <r>
    <d v="2023-10-13T00:00:00"/>
    <s v="Female"/>
    <n v="23"/>
    <s v="Electronics"/>
    <n v="3"/>
    <n v="25"/>
    <n v="75"/>
    <x v="7"/>
  </r>
  <r>
    <d v="2023-08-02T00:00:00"/>
    <s v="Female"/>
    <n v="41"/>
    <s v="Electronics"/>
    <n v="2"/>
    <n v="25"/>
    <n v="50"/>
    <x v="8"/>
  </r>
  <r>
    <d v="2023-11-07T00:00:00"/>
    <s v="Male"/>
    <n v="36"/>
    <s v="Clothing"/>
    <n v="3"/>
    <n v="300"/>
    <n v="900"/>
    <x v="0"/>
  </r>
  <r>
    <d v="2023-11-02T00:00:00"/>
    <s v="Male"/>
    <n v="33"/>
    <s v="Beauty"/>
    <n v="2"/>
    <n v="50"/>
    <n v="100"/>
    <x v="0"/>
  </r>
  <r>
    <d v="2023-11-13T00:00:00"/>
    <s v="Female"/>
    <n v="57"/>
    <s v="Clothing"/>
    <n v="1"/>
    <n v="25"/>
    <n v="25"/>
    <x v="0"/>
  </r>
  <r>
    <d v="2023-04-26T00:00:00"/>
    <s v="Male"/>
    <n v="45"/>
    <s v="Beauty"/>
    <n v="3"/>
    <n v="30"/>
    <n v="90"/>
    <x v="4"/>
  </r>
  <r>
    <d v="2023-09-25T00:00:00"/>
    <s v="Female"/>
    <n v="50"/>
    <s v="Electronics"/>
    <n v="3"/>
    <n v="300"/>
    <n v="900"/>
    <x v="9"/>
  </r>
  <r>
    <d v="2023-07-14T00:00:00"/>
    <s v="Male"/>
    <n v="58"/>
    <s v="Clothing"/>
    <n v="1"/>
    <n v="25"/>
    <n v="25"/>
    <x v="11"/>
  </r>
  <r>
    <d v="2023-08-19T00:00:00"/>
    <s v="Male"/>
    <n v="30"/>
    <s v="Clothing"/>
    <n v="3"/>
    <n v="500"/>
    <n v="1500"/>
    <x v="8"/>
  </r>
  <r>
    <d v="2023-08-15T00:00:00"/>
    <s v="Female"/>
    <n v="60"/>
    <s v="Electronics"/>
    <n v="4"/>
    <n v="30"/>
    <n v="120"/>
    <x v="8"/>
  </r>
  <r>
    <d v="2023-06-02T00:00:00"/>
    <s v="Male"/>
    <n v="62"/>
    <s v="Electronics"/>
    <n v="2"/>
    <n v="25"/>
    <n v="50"/>
    <x v="10"/>
  </r>
  <r>
    <d v="2023-10-29T00:00:00"/>
    <s v="Female"/>
    <n v="42"/>
    <s v="Electronics"/>
    <n v="2"/>
    <n v="30"/>
    <n v="60"/>
    <x v="7"/>
  </r>
  <r>
    <d v="2023-08-08T00:00:00"/>
    <s v="Male"/>
    <n v="59"/>
    <s v="Clothing"/>
    <n v="2"/>
    <n v="30"/>
    <n v="60"/>
    <x v="8"/>
  </r>
  <r>
    <d v="2023-06-06T00:00:00"/>
    <s v="Male"/>
    <n v="53"/>
    <s v="Beauty"/>
    <n v="4"/>
    <n v="50"/>
    <n v="200"/>
    <x v="10"/>
  </r>
  <r>
    <d v="2023-10-19T00:00:00"/>
    <s v="Male"/>
    <n v="44"/>
    <s v="Clothing"/>
    <n v="2"/>
    <n v="30"/>
    <n v="60"/>
    <x v="7"/>
  </r>
  <r>
    <d v="2023-11-14T00:00:00"/>
    <s v="Female"/>
    <n v="55"/>
    <s v="Beauty"/>
    <n v="1"/>
    <n v="50"/>
    <n v="50"/>
    <x v="0"/>
  </r>
  <r>
    <d v="2023-01-31T00:00:00"/>
    <s v="Male"/>
    <n v="24"/>
    <s v="Clothing"/>
    <n v="3"/>
    <n v="300"/>
    <n v="900"/>
    <x v="2"/>
  </r>
  <r>
    <d v="2023-11-09T00:00:00"/>
    <s v="Male"/>
    <n v="22"/>
    <s v="Clothing"/>
    <n v="4"/>
    <n v="50"/>
    <n v="200"/>
    <x v="0"/>
  </r>
  <r>
    <d v="2023-02-20T00:00:00"/>
    <s v="Male"/>
    <n v="60"/>
    <s v="Electronics"/>
    <n v="2"/>
    <n v="500"/>
    <n v="1000"/>
    <x v="1"/>
  </r>
  <r>
    <d v="2023-04-17T00:00:00"/>
    <s v="Male"/>
    <n v="62"/>
    <s v="Beauty"/>
    <n v="1"/>
    <n v="25"/>
    <n v="25"/>
    <x v="4"/>
  </r>
  <r>
    <d v="2023-11-17T00:00:00"/>
    <s v="Female"/>
    <n v="48"/>
    <s v="Clothing"/>
    <n v="3"/>
    <n v="300"/>
    <n v="900"/>
    <x v="0"/>
  </r>
  <r>
    <d v="2023-04-19T00:00:00"/>
    <s v="Female"/>
    <n v="40"/>
    <s v="Clothing"/>
    <n v="3"/>
    <n v="300"/>
    <n v="900"/>
    <x v="4"/>
  </r>
  <r>
    <d v="2023-05-16T00:00:00"/>
    <s v="Male"/>
    <n v="59"/>
    <s v="Electronics"/>
    <n v="4"/>
    <n v="500"/>
    <n v="2000"/>
    <x v="3"/>
  </r>
  <r>
    <d v="2023-12-05T00:00:00"/>
    <s v="Female"/>
    <n v="27"/>
    <s v="Electronics"/>
    <n v="4"/>
    <n v="50"/>
    <n v="200"/>
    <x v="6"/>
  </r>
  <r>
    <d v="2023-02-11T00:00:00"/>
    <s v="Male"/>
    <n v="49"/>
    <s v="Beauty"/>
    <n v="4"/>
    <n v="25"/>
    <n v="100"/>
    <x v="1"/>
  </r>
  <r>
    <d v="2023-03-22T00:00:00"/>
    <s v="Male"/>
    <n v="60"/>
    <s v="Clothing"/>
    <n v="1"/>
    <n v="50"/>
    <n v="50"/>
    <x v="5"/>
  </r>
  <r>
    <d v="2023-05-03T00:00:00"/>
    <s v="Male"/>
    <n v="47"/>
    <s v="Beauty"/>
    <n v="1"/>
    <n v="30"/>
    <n v="30"/>
    <x v="3"/>
  </r>
  <r>
    <d v="2023-03-30T00:00:00"/>
    <s v="Female"/>
    <n v="56"/>
    <s v="Clothing"/>
    <n v="4"/>
    <n v="50"/>
    <n v="200"/>
    <x v="5"/>
  </r>
  <r>
    <d v="2023-10-10T00:00:00"/>
    <s v="Female"/>
    <n v="48"/>
    <s v="Beauty"/>
    <n v="2"/>
    <n v="300"/>
    <n v="600"/>
    <x v="7"/>
  </r>
  <r>
    <d v="2023-02-08T00:00:00"/>
    <s v="Female"/>
    <n v="35"/>
    <s v="Electronics"/>
    <n v="3"/>
    <n v="25"/>
    <n v="75"/>
    <x v="1"/>
  </r>
  <r>
    <d v="2023-03-22T00:00:00"/>
    <s v="Female"/>
    <n v="53"/>
    <s v="Clothing"/>
    <n v="3"/>
    <n v="50"/>
    <n v="150"/>
    <x v="5"/>
  </r>
  <r>
    <d v="2023-01-02T00:00:00"/>
    <s v="Female"/>
    <n v="19"/>
    <s v="Beauty"/>
    <n v="1"/>
    <n v="25"/>
    <n v="25"/>
    <x v="2"/>
  </r>
  <r>
    <d v="2023-07-29T00:00:00"/>
    <s v="Female"/>
    <n v="31"/>
    <s v="Electronics"/>
    <n v="3"/>
    <n v="25"/>
    <n v="75"/>
    <x v="11"/>
  </r>
  <r>
    <d v="2023-08-19T00:00:00"/>
    <s v="Female"/>
    <n v="30"/>
    <s v="Electronics"/>
    <n v="2"/>
    <n v="30"/>
    <n v="60"/>
    <x v="8"/>
  </r>
  <r>
    <d v="2023-12-19T00:00:00"/>
    <s v="Female"/>
    <n v="46"/>
    <s v="Beauty"/>
    <n v="3"/>
    <n v="30"/>
    <n v="90"/>
    <x v="6"/>
  </r>
  <r>
    <d v="2023-11-01T00:00:00"/>
    <s v="Female"/>
    <n v="29"/>
    <s v="Clothing"/>
    <n v="1"/>
    <n v="300"/>
    <n v="300"/>
    <x v="0"/>
  </r>
  <r>
    <d v="2023-08-29T00:00:00"/>
    <s v="Male"/>
    <n v="56"/>
    <s v="Clothing"/>
    <n v="1"/>
    <n v="500"/>
    <n v="500"/>
    <x v="8"/>
  </r>
  <r>
    <d v="2023-05-30T00:00:00"/>
    <s v="Female"/>
    <n v="19"/>
    <s v="Electronics"/>
    <n v="2"/>
    <n v="25"/>
    <n v="50"/>
    <x v="3"/>
  </r>
  <r>
    <d v="2023-01-17T00:00:00"/>
    <s v="Female"/>
    <n v="49"/>
    <s v="Clothing"/>
    <n v="2"/>
    <n v="500"/>
    <n v="1000"/>
    <x v="2"/>
  </r>
  <r>
    <d v="2023-04-29T00:00:00"/>
    <s v="Female"/>
    <n v="30"/>
    <s v="Clothing"/>
    <n v="3"/>
    <n v="300"/>
    <n v="900"/>
    <x v="4"/>
  </r>
  <r>
    <d v="2023-05-28T00:00:00"/>
    <s v="Female"/>
    <n v="63"/>
    <s v="Clothing"/>
    <n v="3"/>
    <n v="25"/>
    <n v="75"/>
    <x v="3"/>
  </r>
  <r>
    <d v="2023-12-28T00:00:00"/>
    <s v="Female"/>
    <n v="44"/>
    <s v="Electronics"/>
    <n v="1"/>
    <n v="25"/>
    <n v="25"/>
    <x v="6"/>
  </r>
  <r>
    <d v="2023-05-25T00:00:00"/>
    <s v="Female"/>
    <n v="58"/>
    <s v="Beauty"/>
    <n v="2"/>
    <n v="500"/>
    <n v="1000"/>
    <x v="3"/>
  </r>
  <r>
    <d v="2023-12-26T00:00:00"/>
    <s v="Female"/>
    <n v="34"/>
    <s v="Clothing"/>
    <n v="2"/>
    <n v="50"/>
    <n v="100"/>
    <x v="6"/>
  </r>
  <r>
    <d v="2023-08-21T00:00:00"/>
    <s v="Female"/>
    <n v="57"/>
    <s v="Electronics"/>
    <n v="2"/>
    <n v="30"/>
    <n v="60"/>
    <x v="8"/>
  </r>
  <r>
    <d v="2023-02-06T00:00:00"/>
    <s v="Female"/>
    <n v="48"/>
    <s v="Electronics"/>
    <n v="3"/>
    <n v="50"/>
    <n v="150"/>
    <x v="1"/>
  </r>
  <r>
    <d v="2023-12-18T00:00:00"/>
    <s v="Female"/>
    <n v="51"/>
    <s v="Beauty"/>
    <n v="2"/>
    <n v="500"/>
    <n v="1000"/>
    <x v="6"/>
  </r>
  <r>
    <d v="2023-04-30T00:00:00"/>
    <s v="Female"/>
    <n v="41"/>
    <s v="Clothing"/>
    <n v="1"/>
    <n v="30"/>
    <n v="30"/>
    <x v="4"/>
  </r>
  <r>
    <d v="2023-05-16T00:00:00"/>
    <s v="Male"/>
    <n v="62"/>
    <s v="Clothing"/>
    <n v="1"/>
    <n v="50"/>
    <n v="50"/>
    <x v="3"/>
  </r>
  <r>
    <d v="2023-11-17T00:00:00"/>
    <s v="Male"/>
    <n v="52"/>
    <s v="Beauty"/>
    <n v="3"/>
    <n v="30"/>
    <n v="90"/>
    <x v="0"/>
  </r>
  <r>
    <d v="2023-10-29T00:00:00"/>
    <s v="Female"/>
    <n v="23"/>
    <s v="Beauty"/>
    <n v="4"/>
    <n v="25"/>
    <n v="100"/>
    <x v="7"/>
  </r>
  <r>
    <d v="2023-12-05T00:00:00"/>
    <s v="Female"/>
    <n v="36"/>
    <s v="Electronics"/>
    <n v="3"/>
    <n v="50"/>
    <n v="150"/>
    <x v="6"/>
  </r>
  <r>
    <d v="2023-04-12T00:00:00"/>
    <s v="Male"/>
    <n v="47"/>
    <s v="Electronics"/>
    <n v="4"/>
    <n v="30"/>
    <n v="12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86054-B0BC-D14B-BF72-491B3432A23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numFmtId="165" showAll="0"/>
    <pivotField showAll="0"/>
    <pivotField showAll="0"/>
    <pivotField showAll="0"/>
    <pivotField showAll="0"/>
    <pivotField showAll="0"/>
    <pivotField dataField="1" showAll="0"/>
    <pivotField axis="axisRow" numFmtId="166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h="1"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158F-50B9-0D42-B5CA-EE0BEF19A3FF}">
  <dimension ref="A1:H1001"/>
  <sheetViews>
    <sheetView zoomScale="129" zoomScaleNormal="129" workbookViewId="0">
      <selection activeCell="J19" sqref="J19"/>
    </sheetView>
  </sheetViews>
  <sheetFormatPr baseColWidth="10" defaultRowHeight="16"/>
  <cols>
    <col min="1" max="1" width="10.5" style="1" bestFit="1" customWidth="1"/>
    <col min="4" max="4" width="15.1640625" bestFit="1" customWidth="1"/>
    <col min="6" max="6" width="12" bestFit="1" customWidth="1"/>
    <col min="7" max="7" width="11.6640625" bestFit="1" customWidth="1"/>
    <col min="8" max="8" width="10.83203125" style="2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12</v>
      </c>
    </row>
    <row r="2" spans="1:8">
      <c r="A2" s="1">
        <v>45254</v>
      </c>
      <c r="B2" t="s">
        <v>7</v>
      </c>
      <c r="C2">
        <v>34</v>
      </c>
      <c r="D2" t="s">
        <v>8</v>
      </c>
      <c r="E2">
        <v>3</v>
      </c>
      <c r="F2">
        <v>50</v>
      </c>
      <c r="G2">
        <v>150</v>
      </c>
      <c r="H2" s="2">
        <f>EOMONTH(A2,0)</f>
        <v>45260</v>
      </c>
    </row>
    <row r="3" spans="1:8">
      <c r="A3" s="1">
        <v>44984</v>
      </c>
      <c r="B3" t="s">
        <v>9</v>
      </c>
      <c r="C3">
        <v>26</v>
      </c>
      <c r="D3" t="s">
        <v>10</v>
      </c>
      <c r="E3">
        <v>2</v>
      </c>
      <c r="F3">
        <v>500</v>
      </c>
      <c r="G3">
        <v>1000</v>
      </c>
      <c r="H3" s="2">
        <f t="shared" ref="H3:H66" si="0">EOMONTH(A3,0)</f>
        <v>44985</v>
      </c>
    </row>
    <row r="4" spans="1:8">
      <c r="A4" s="1">
        <v>44939</v>
      </c>
      <c r="B4" t="s">
        <v>7</v>
      </c>
      <c r="C4">
        <v>50</v>
      </c>
      <c r="D4" t="s">
        <v>11</v>
      </c>
      <c r="E4">
        <v>1</v>
      </c>
      <c r="F4">
        <v>30</v>
      </c>
      <c r="G4">
        <v>30</v>
      </c>
      <c r="H4" s="2">
        <f t="shared" si="0"/>
        <v>44957</v>
      </c>
    </row>
    <row r="5" spans="1:8">
      <c r="A5" s="1">
        <v>45067</v>
      </c>
      <c r="B5" t="s">
        <v>7</v>
      </c>
      <c r="C5">
        <v>37</v>
      </c>
      <c r="D5" t="s">
        <v>10</v>
      </c>
      <c r="E5">
        <v>1</v>
      </c>
      <c r="F5">
        <v>500</v>
      </c>
      <c r="G5">
        <v>500</v>
      </c>
      <c r="H5" s="2">
        <f t="shared" si="0"/>
        <v>45077</v>
      </c>
    </row>
    <row r="6" spans="1:8">
      <c r="A6" s="1">
        <v>45052</v>
      </c>
      <c r="B6" t="s">
        <v>7</v>
      </c>
      <c r="C6">
        <v>30</v>
      </c>
      <c r="D6" t="s">
        <v>8</v>
      </c>
      <c r="E6">
        <v>2</v>
      </c>
      <c r="F6">
        <v>50</v>
      </c>
      <c r="G6">
        <v>100</v>
      </c>
      <c r="H6" s="2">
        <f t="shared" si="0"/>
        <v>45077</v>
      </c>
    </row>
    <row r="7" spans="1:8">
      <c r="A7" s="1">
        <v>45041</v>
      </c>
      <c r="B7" t="s">
        <v>9</v>
      </c>
      <c r="C7">
        <v>45</v>
      </c>
      <c r="D7" t="s">
        <v>8</v>
      </c>
      <c r="E7">
        <v>1</v>
      </c>
      <c r="F7">
        <v>30</v>
      </c>
      <c r="G7">
        <v>30</v>
      </c>
      <c r="H7" s="2">
        <f t="shared" si="0"/>
        <v>45046</v>
      </c>
    </row>
    <row r="8" spans="1:8">
      <c r="A8" s="1">
        <v>44998</v>
      </c>
      <c r="B8" t="s">
        <v>7</v>
      </c>
      <c r="C8">
        <v>46</v>
      </c>
      <c r="D8" t="s">
        <v>10</v>
      </c>
      <c r="E8">
        <v>2</v>
      </c>
      <c r="F8">
        <v>25</v>
      </c>
      <c r="G8">
        <v>50</v>
      </c>
      <c r="H8" s="2">
        <f t="shared" si="0"/>
        <v>45016</v>
      </c>
    </row>
    <row r="9" spans="1:8">
      <c r="A9" s="1">
        <v>44979</v>
      </c>
      <c r="B9" t="s">
        <v>7</v>
      </c>
      <c r="C9">
        <v>30</v>
      </c>
      <c r="D9" t="s">
        <v>11</v>
      </c>
      <c r="E9">
        <v>4</v>
      </c>
      <c r="F9">
        <v>25</v>
      </c>
      <c r="G9">
        <v>100</v>
      </c>
      <c r="H9" s="2">
        <f t="shared" si="0"/>
        <v>44985</v>
      </c>
    </row>
    <row r="10" spans="1:8">
      <c r="A10" s="1">
        <v>45273</v>
      </c>
      <c r="B10" t="s">
        <v>7</v>
      </c>
      <c r="C10">
        <v>63</v>
      </c>
      <c r="D10" t="s">
        <v>11</v>
      </c>
      <c r="E10">
        <v>2</v>
      </c>
      <c r="F10">
        <v>300</v>
      </c>
      <c r="G10">
        <v>600</v>
      </c>
      <c r="H10" s="2">
        <f t="shared" si="0"/>
        <v>45291</v>
      </c>
    </row>
    <row r="11" spans="1:8">
      <c r="A11" s="1">
        <v>45206</v>
      </c>
      <c r="B11" t="s">
        <v>9</v>
      </c>
      <c r="C11">
        <v>52</v>
      </c>
      <c r="D11" t="s">
        <v>10</v>
      </c>
      <c r="E11">
        <v>4</v>
      </c>
      <c r="F11">
        <v>50</v>
      </c>
      <c r="G11">
        <v>200</v>
      </c>
      <c r="H11" s="2">
        <f t="shared" si="0"/>
        <v>45230</v>
      </c>
    </row>
    <row r="12" spans="1:8">
      <c r="A12" s="1">
        <v>44971</v>
      </c>
      <c r="B12" t="s">
        <v>7</v>
      </c>
      <c r="C12">
        <v>23</v>
      </c>
      <c r="D12" t="s">
        <v>10</v>
      </c>
      <c r="E12">
        <v>2</v>
      </c>
      <c r="F12">
        <v>50</v>
      </c>
      <c r="G12">
        <v>100</v>
      </c>
      <c r="H12" s="2">
        <f t="shared" si="0"/>
        <v>44985</v>
      </c>
    </row>
    <row r="13" spans="1:8">
      <c r="A13" s="1">
        <v>45229</v>
      </c>
      <c r="B13" t="s">
        <v>7</v>
      </c>
      <c r="C13">
        <v>35</v>
      </c>
      <c r="D13" t="s">
        <v>8</v>
      </c>
      <c r="E13">
        <v>3</v>
      </c>
      <c r="F13">
        <v>25</v>
      </c>
      <c r="G13">
        <v>75</v>
      </c>
      <c r="H13" s="2">
        <f t="shared" si="0"/>
        <v>45230</v>
      </c>
    </row>
    <row r="14" spans="1:8">
      <c r="A14" s="1">
        <v>45143</v>
      </c>
      <c r="B14" t="s">
        <v>7</v>
      </c>
      <c r="C14">
        <v>22</v>
      </c>
      <c r="D14" t="s">
        <v>11</v>
      </c>
      <c r="E14">
        <v>3</v>
      </c>
      <c r="F14">
        <v>500</v>
      </c>
      <c r="G14">
        <v>1500</v>
      </c>
      <c r="H14" s="2">
        <f t="shared" si="0"/>
        <v>45169</v>
      </c>
    </row>
    <row r="15" spans="1:8">
      <c r="A15" s="1">
        <v>44943</v>
      </c>
      <c r="B15" t="s">
        <v>7</v>
      </c>
      <c r="C15">
        <v>64</v>
      </c>
      <c r="D15" t="s">
        <v>10</v>
      </c>
      <c r="E15">
        <v>4</v>
      </c>
      <c r="F15">
        <v>30</v>
      </c>
      <c r="G15">
        <v>120</v>
      </c>
      <c r="H15" s="2">
        <f t="shared" si="0"/>
        <v>44957</v>
      </c>
    </row>
    <row r="16" spans="1:8">
      <c r="A16" s="1">
        <v>44942</v>
      </c>
      <c r="B16" t="s">
        <v>9</v>
      </c>
      <c r="C16">
        <v>42</v>
      </c>
      <c r="D16" t="s">
        <v>11</v>
      </c>
      <c r="E16">
        <v>4</v>
      </c>
      <c r="F16">
        <v>500</v>
      </c>
      <c r="G16">
        <v>2000</v>
      </c>
      <c r="H16" s="2">
        <f t="shared" si="0"/>
        <v>44957</v>
      </c>
    </row>
    <row r="17" spans="1:8">
      <c r="A17" s="1">
        <v>44974</v>
      </c>
      <c r="B17" t="s">
        <v>7</v>
      </c>
      <c r="C17">
        <v>19</v>
      </c>
      <c r="D17" t="s">
        <v>10</v>
      </c>
      <c r="E17">
        <v>3</v>
      </c>
      <c r="F17">
        <v>500</v>
      </c>
      <c r="G17">
        <v>1500</v>
      </c>
      <c r="H17" s="2">
        <f t="shared" si="0"/>
        <v>44985</v>
      </c>
    </row>
    <row r="18" spans="1:8">
      <c r="A18" s="1">
        <v>45038</v>
      </c>
      <c r="B18" t="s">
        <v>9</v>
      </c>
      <c r="C18">
        <v>27</v>
      </c>
      <c r="D18" t="s">
        <v>10</v>
      </c>
      <c r="E18">
        <v>4</v>
      </c>
      <c r="F18">
        <v>25</v>
      </c>
      <c r="G18">
        <v>100</v>
      </c>
      <c r="H18" s="2">
        <f t="shared" si="0"/>
        <v>45046</v>
      </c>
    </row>
    <row r="19" spans="1:8">
      <c r="A19" s="1">
        <v>45046</v>
      </c>
      <c r="B19" t="s">
        <v>9</v>
      </c>
      <c r="C19">
        <v>47</v>
      </c>
      <c r="D19" t="s">
        <v>11</v>
      </c>
      <c r="E19">
        <v>2</v>
      </c>
      <c r="F19">
        <v>25</v>
      </c>
      <c r="G19">
        <v>50</v>
      </c>
      <c r="H19" s="2">
        <f t="shared" si="0"/>
        <v>45046</v>
      </c>
    </row>
    <row r="20" spans="1:8">
      <c r="A20" s="1">
        <v>45185</v>
      </c>
      <c r="B20" t="s">
        <v>9</v>
      </c>
      <c r="C20">
        <v>62</v>
      </c>
      <c r="D20" t="s">
        <v>10</v>
      </c>
      <c r="E20">
        <v>2</v>
      </c>
      <c r="F20">
        <v>25</v>
      </c>
      <c r="G20">
        <v>50</v>
      </c>
      <c r="H20" s="2">
        <f t="shared" si="0"/>
        <v>45199</v>
      </c>
    </row>
    <row r="21" spans="1:8">
      <c r="A21" s="1">
        <v>45235</v>
      </c>
      <c r="B21" t="s">
        <v>7</v>
      </c>
      <c r="C21">
        <v>22</v>
      </c>
      <c r="D21" t="s">
        <v>10</v>
      </c>
      <c r="E21">
        <v>3</v>
      </c>
      <c r="F21">
        <v>300</v>
      </c>
      <c r="G21">
        <v>900</v>
      </c>
      <c r="H21" s="2">
        <f t="shared" si="0"/>
        <v>45260</v>
      </c>
    </row>
    <row r="22" spans="1:8">
      <c r="A22" s="1">
        <v>44940</v>
      </c>
      <c r="B22" t="s">
        <v>9</v>
      </c>
      <c r="C22">
        <v>50</v>
      </c>
      <c r="D22" t="s">
        <v>8</v>
      </c>
      <c r="E22">
        <v>1</v>
      </c>
      <c r="F22">
        <v>500</v>
      </c>
      <c r="G22">
        <v>500</v>
      </c>
      <c r="H22" s="2">
        <f t="shared" si="0"/>
        <v>44957</v>
      </c>
    </row>
    <row r="23" spans="1:8">
      <c r="A23" s="1">
        <v>45214</v>
      </c>
      <c r="B23" t="s">
        <v>7</v>
      </c>
      <c r="C23">
        <v>18</v>
      </c>
      <c r="D23" t="s">
        <v>10</v>
      </c>
      <c r="E23">
        <v>2</v>
      </c>
      <c r="F23">
        <v>50</v>
      </c>
      <c r="G23">
        <v>100</v>
      </c>
      <c r="H23" s="2">
        <f t="shared" si="0"/>
        <v>45230</v>
      </c>
    </row>
    <row r="24" spans="1:8">
      <c r="A24" s="1">
        <v>45028</v>
      </c>
      <c r="B24" t="s">
        <v>9</v>
      </c>
      <c r="C24">
        <v>35</v>
      </c>
      <c r="D24" t="s">
        <v>10</v>
      </c>
      <c r="E24">
        <v>4</v>
      </c>
      <c r="F24">
        <v>30</v>
      </c>
      <c r="G24">
        <v>120</v>
      </c>
      <c r="H24" s="2">
        <f t="shared" si="0"/>
        <v>45046</v>
      </c>
    </row>
    <row r="25" spans="1:8">
      <c r="A25" s="1">
        <v>45259</v>
      </c>
      <c r="B25" t="s">
        <v>9</v>
      </c>
      <c r="C25">
        <v>49</v>
      </c>
      <c r="D25" t="s">
        <v>10</v>
      </c>
      <c r="E25">
        <v>1</v>
      </c>
      <c r="F25">
        <v>300</v>
      </c>
      <c r="G25">
        <v>300</v>
      </c>
      <c r="H25" s="2">
        <f t="shared" si="0"/>
        <v>45260</v>
      </c>
    </row>
    <row r="26" spans="1:8">
      <c r="A26" s="1">
        <v>45286</v>
      </c>
      <c r="B26" t="s">
        <v>9</v>
      </c>
      <c r="C26">
        <v>64</v>
      </c>
      <c r="D26" t="s">
        <v>8</v>
      </c>
      <c r="E26">
        <v>1</v>
      </c>
      <c r="F26">
        <v>50</v>
      </c>
      <c r="G26">
        <v>50</v>
      </c>
      <c r="H26" s="2">
        <f t="shared" si="0"/>
        <v>45291</v>
      </c>
    </row>
    <row r="27" spans="1:8">
      <c r="A27" s="1">
        <v>45206</v>
      </c>
      <c r="B27" t="s">
        <v>9</v>
      </c>
      <c r="C27">
        <v>28</v>
      </c>
      <c r="D27" t="s">
        <v>11</v>
      </c>
      <c r="E27">
        <v>2</v>
      </c>
      <c r="F27">
        <v>500</v>
      </c>
      <c r="G27">
        <v>1000</v>
      </c>
      <c r="H27" s="2">
        <f t="shared" si="0"/>
        <v>45230</v>
      </c>
    </row>
    <row r="28" spans="1:8">
      <c r="A28" s="1">
        <v>45141</v>
      </c>
      <c r="B28" t="s">
        <v>9</v>
      </c>
      <c r="C28">
        <v>38</v>
      </c>
      <c r="D28" t="s">
        <v>8</v>
      </c>
      <c r="E28">
        <v>2</v>
      </c>
      <c r="F28">
        <v>25</v>
      </c>
      <c r="G28">
        <v>50</v>
      </c>
      <c r="H28" s="2">
        <f t="shared" si="0"/>
        <v>45169</v>
      </c>
    </row>
    <row r="29" spans="1:8">
      <c r="A29" s="1">
        <v>45039</v>
      </c>
      <c r="B29" t="s">
        <v>9</v>
      </c>
      <c r="C29">
        <v>43</v>
      </c>
      <c r="D29" t="s">
        <v>8</v>
      </c>
      <c r="E29">
        <v>1</v>
      </c>
      <c r="F29">
        <v>500</v>
      </c>
      <c r="G29">
        <v>500</v>
      </c>
      <c r="H29" s="2">
        <f t="shared" si="0"/>
        <v>45046</v>
      </c>
    </row>
    <row r="30" spans="1:8">
      <c r="A30" s="1">
        <v>45156</v>
      </c>
      <c r="B30" t="s">
        <v>9</v>
      </c>
      <c r="C30">
        <v>42</v>
      </c>
      <c r="D30" t="s">
        <v>11</v>
      </c>
      <c r="E30">
        <v>1</v>
      </c>
      <c r="F30">
        <v>30</v>
      </c>
      <c r="G30">
        <v>30</v>
      </c>
      <c r="H30" s="2">
        <f t="shared" si="0"/>
        <v>45169</v>
      </c>
    </row>
    <row r="31" spans="1:8">
      <c r="A31" s="1">
        <v>45228</v>
      </c>
      <c r="B31" t="s">
        <v>9</v>
      </c>
      <c r="C31">
        <v>39</v>
      </c>
      <c r="D31" t="s">
        <v>8</v>
      </c>
      <c r="E31">
        <v>3</v>
      </c>
      <c r="F31">
        <v>300</v>
      </c>
      <c r="G31">
        <v>900</v>
      </c>
      <c r="H31" s="2">
        <f t="shared" si="0"/>
        <v>45230</v>
      </c>
    </row>
    <row r="32" spans="1:8">
      <c r="A32" s="1">
        <v>45069</v>
      </c>
      <c r="B32" t="s">
        <v>7</v>
      </c>
      <c r="C32">
        <v>44</v>
      </c>
      <c r="D32" t="s">
        <v>11</v>
      </c>
      <c r="E32">
        <v>4</v>
      </c>
      <c r="F32">
        <v>300</v>
      </c>
      <c r="G32">
        <v>1200</v>
      </c>
      <c r="H32" s="2">
        <f t="shared" si="0"/>
        <v>45077</v>
      </c>
    </row>
    <row r="33" spans="1:8">
      <c r="A33" s="1">
        <v>44930</v>
      </c>
      <c r="B33" t="s">
        <v>7</v>
      </c>
      <c r="C33">
        <v>30</v>
      </c>
      <c r="D33" t="s">
        <v>8</v>
      </c>
      <c r="E33">
        <v>3</v>
      </c>
      <c r="F33">
        <v>30</v>
      </c>
      <c r="G33">
        <v>90</v>
      </c>
      <c r="H33" s="2">
        <f t="shared" si="0"/>
        <v>44957</v>
      </c>
    </row>
    <row r="34" spans="1:8">
      <c r="A34" s="1">
        <v>45008</v>
      </c>
      <c r="B34" t="s">
        <v>9</v>
      </c>
      <c r="C34">
        <v>50</v>
      </c>
      <c r="D34" t="s">
        <v>11</v>
      </c>
      <c r="E34">
        <v>2</v>
      </c>
      <c r="F34">
        <v>50</v>
      </c>
      <c r="G34">
        <v>100</v>
      </c>
      <c r="H34" s="2">
        <f t="shared" si="0"/>
        <v>45016</v>
      </c>
    </row>
    <row r="35" spans="1:8">
      <c r="A35" s="1">
        <v>45284</v>
      </c>
      <c r="B35" t="s">
        <v>9</v>
      </c>
      <c r="C35">
        <v>51</v>
      </c>
      <c r="D35" t="s">
        <v>10</v>
      </c>
      <c r="E35">
        <v>3</v>
      </c>
      <c r="F35">
        <v>50</v>
      </c>
      <c r="G35">
        <v>150</v>
      </c>
      <c r="H35" s="2">
        <f t="shared" si="0"/>
        <v>45291</v>
      </c>
    </row>
    <row r="36" spans="1:8">
      <c r="A36" s="1">
        <v>45143</v>
      </c>
      <c r="B36" t="s">
        <v>9</v>
      </c>
      <c r="C36">
        <v>58</v>
      </c>
      <c r="D36" t="s">
        <v>8</v>
      </c>
      <c r="E36">
        <v>3</v>
      </c>
      <c r="F36">
        <v>300</v>
      </c>
      <c r="G36">
        <v>900</v>
      </c>
      <c r="H36" s="2">
        <f t="shared" si="0"/>
        <v>45169</v>
      </c>
    </row>
    <row r="37" spans="1:8">
      <c r="A37" s="1">
        <v>45101</v>
      </c>
      <c r="B37" t="s">
        <v>7</v>
      </c>
      <c r="C37">
        <v>52</v>
      </c>
      <c r="D37" t="s">
        <v>8</v>
      </c>
      <c r="E37">
        <v>3</v>
      </c>
      <c r="F37">
        <v>300</v>
      </c>
      <c r="G37">
        <v>900</v>
      </c>
      <c r="H37" s="2">
        <f t="shared" si="0"/>
        <v>45107</v>
      </c>
    </row>
    <row r="38" spans="1:8">
      <c r="A38" s="1">
        <v>45069</v>
      </c>
      <c r="B38" t="s">
        <v>9</v>
      </c>
      <c r="C38">
        <v>18</v>
      </c>
      <c r="D38" t="s">
        <v>8</v>
      </c>
      <c r="E38">
        <v>3</v>
      </c>
      <c r="F38">
        <v>25</v>
      </c>
      <c r="G38">
        <v>75</v>
      </c>
      <c r="H38" s="2">
        <f t="shared" si="0"/>
        <v>45077</v>
      </c>
    </row>
    <row r="39" spans="1:8">
      <c r="A39" s="1">
        <v>45006</v>
      </c>
      <c r="B39" t="s">
        <v>7</v>
      </c>
      <c r="C39">
        <v>38</v>
      </c>
      <c r="D39" t="s">
        <v>8</v>
      </c>
      <c r="E39">
        <v>4</v>
      </c>
      <c r="F39">
        <v>50</v>
      </c>
      <c r="G39">
        <v>200</v>
      </c>
      <c r="H39" s="2">
        <f t="shared" si="0"/>
        <v>45016</v>
      </c>
    </row>
    <row r="40" spans="1:8">
      <c r="A40" s="1">
        <v>45037</v>
      </c>
      <c r="B40" t="s">
        <v>7</v>
      </c>
      <c r="C40">
        <v>23</v>
      </c>
      <c r="D40" t="s">
        <v>10</v>
      </c>
      <c r="E40">
        <v>4</v>
      </c>
      <c r="F40">
        <v>30</v>
      </c>
      <c r="G40">
        <v>120</v>
      </c>
      <c r="H40" s="2">
        <f t="shared" si="0"/>
        <v>45046</v>
      </c>
    </row>
    <row r="41" spans="1:8">
      <c r="A41" s="1">
        <v>45099</v>
      </c>
      <c r="B41" t="s">
        <v>7</v>
      </c>
      <c r="C41">
        <v>45</v>
      </c>
      <c r="D41" t="s">
        <v>8</v>
      </c>
      <c r="E41">
        <v>1</v>
      </c>
      <c r="F41">
        <v>50</v>
      </c>
      <c r="G41">
        <v>50</v>
      </c>
      <c r="H41" s="2">
        <f t="shared" si="0"/>
        <v>45107</v>
      </c>
    </row>
    <row r="42" spans="1:8">
      <c r="A42" s="1">
        <v>44979</v>
      </c>
      <c r="B42" t="s">
        <v>7</v>
      </c>
      <c r="C42">
        <v>34</v>
      </c>
      <c r="D42" t="s">
        <v>10</v>
      </c>
      <c r="E42">
        <v>2</v>
      </c>
      <c r="F42">
        <v>25</v>
      </c>
      <c r="G42">
        <v>50</v>
      </c>
      <c r="H42" s="2">
        <f t="shared" si="0"/>
        <v>44985</v>
      </c>
    </row>
    <row r="43" spans="1:8">
      <c r="A43" s="1">
        <v>44974</v>
      </c>
      <c r="B43" t="s">
        <v>7</v>
      </c>
      <c r="C43">
        <v>22</v>
      </c>
      <c r="D43" t="s">
        <v>10</v>
      </c>
      <c r="E43">
        <v>3</v>
      </c>
      <c r="F43">
        <v>300</v>
      </c>
      <c r="G43">
        <v>900</v>
      </c>
      <c r="H43" s="2">
        <f t="shared" si="0"/>
        <v>44985</v>
      </c>
    </row>
    <row r="44" spans="1:8">
      <c r="A44" s="1">
        <v>45121</v>
      </c>
      <c r="B44" t="s">
        <v>9</v>
      </c>
      <c r="C44">
        <v>48</v>
      </c>
      <c r="D44" t="s">
        <v>10</v>
      </c>
      <c r="E44">
        <v>1</v>
      </c>
      <c r="F44">
        <v>300</v>
      </c>
      <c r="G44">
        <v>300</v>
      </c>
      <c r="H44" s="2">
        <f t="shared" si="0"/>
        <v>45138</v>
      </c>
    </row>
    <row r="45" spans="1:8">
      <c r="A45" s="1">
        <v>44976</v>
      </c>
      <c r="B45" t="s">
        <v>9</v>
      </c>
      <c r="C45">
        <v>22</v>
      </c>
      <c r="D45" t="s">
        <v>10</v>
      </c>
      <c r="E45">
        <v>1</v>
      </c>
      <c r="F45">
        <v>25</v>
      </c>
      <c r="G45">
        <v>25</v>
      </c>
      <c r="H45" s="2">
        <f t="shared" si="0"/>
        <v>44985</v>
      </c>
    </row>
    <row r="46" spans="1:8">
      <c r="A46" s="1">
        <v>45110</v>
      </c>
      <c r="B46" t="s">
        <v>9</v>
      </c>
      <c r="C46">
        <v>55</v>
      </c>
      <c r="D46" t="s">
        <v>11</v>
      </c>
      <c r="E46">
        <v>1</v>
      </c>
      <c r="F46">
        <v>30</v>
      </c>
      <c r="G46">
        <v>30</v>
      </c>
      <c r="H46" s="2">
        <f t="shared" si="0"/>
        <v>45138</v>
      </c>
    </row>
    <row r="47" spans="1:8">
      <c r="A47" s="1">
        <v>45103</v>
      </c>
      <c r="B47" t="s">
        <v>9</v>
      </c>
      <c r="C47">
        <v>20</v>
      </c>
      <c r="D47" t="s">
        <v>11</v>
      </c>
      <c r="E47">
        <v>4</v>
      </c>
      <c r="F47">
        <v>300</v>
      </c>
      <c r="G47">
        <v>1200</v>
      </c>
      <c r="H47" s="2">
        <f t="shared" si="0"/>
        <v>45107</v>
      </c>
    </row>
    <row r="48" spans="1:8">
      <c r="A48" s="1">
        <v>45236</v>
      </c>
      <c r="B48" t="s">
        <v>9</v>
      </c>
      <c r="C48">
        <v>40</v>
      </c>
      <c r="D48" t="s">
        <v>8</v>
      </c>
      <c r="E48">
        <v>3</v>
      </c>
      <c r="F48">
        <v>500</v>
      </c>
      <c r="G48">
        <v>1500</v>
      </c>
      <c r="H48" s="2">
        <f t="shared" si="0"/>
        <v>45260</v>
      </c>
    </row>
    <row r="49" spans="1:8">
      <c r="A49" s="1">
        <v>45062</v>
      </c>
      <c r="B49" t="s">
        <v>7</v>
      </c>
      <c r="C49">
        <v>54</v>
      </c>
      <c r="D49" t="s">
        <v>11</v>
      </c>
      <c r="E49">
        <v>3</v>
      </c>
      <c r="F49">
        <v>300</v>
      </c>
      <c r="G49">
        <v>900</v>
      </c>
      <c r="H49" s="2">
        <f t="shared" si="0"/>
        <v>45077</v>
      </c>
    </row>
    <row r="50" spans="1:8">
      <c r="A50" s="1">
        <v>44949</v>
      </c>
      <c r="B50" t="s">
        <v>9</v>
      </c>
      <c r="C50">
        <v>54</v>
      </c>
      <c r="D50" t="s">
        <v>11</v>
      </c>
      <c r="E50">
        <v>2</v>
      </c>
      <c r="F50">
        <v>500</v>
      </c>
      <c r="G50">
        <v>1000</v>
      </c>
      <c r="H50" s="2">
        <f t="shared" si="0"/>
        <v>44957</v>
      </c>
    </row>
    <row r="51" spans="1:8">
      <c r="A51" s="1">
        <v>45162</v>
      </c>
      <c r="B51" t="s">
        <v>9</v>
      </c>
      <c r="C51">
        <v>27</v>
      </c>
      <c r="D51" t="s">
        <v>8</v>
      </c>
      <c r="E51">
        <v>3</v>
      </c>
      <c r="F51">
        <v>25</v>
      </c>
      <c r="G51">
        <v>75</v>
      </c>
      <c r="H51" s="2">
        <f t="shared" si="0"/>
        <v>45169</v>
      </c>
    </row>
    <row r="52" spans="1:8">
      <c r="A52" s="1">
        <v>45201</v>
      </c>
      <c r="B52" t="s">
        <v>7</v>
      </c>
      <c r="C52">
        <v>27</v>
      </c>
      <c r="D52" t="s">
        <v>8</v>
      </c>
      <c r="E52">
        <v>3</v>
      </c>
      <c r="F52">
        <v>25</v>
      </c>
      <c r="G52">
        <v>75</v>
      </c>
      <c r="H52" s="2">
        <f t="shared" si="0"/>
        <v>45230</v>
      </c>
    </row>
    <row r="53" spans="1:8">
      <c r="A53" s="1">
        <v>44990</v>
      </c>
      <c r="B53" t="s">
        <v>9</v>
      </c>
      <c r="C53">
        <v>36</v>
      </c>
      <c r="D53" t="s">
        <v>8</v>
      </c>
      <c r="E53">
        <v>1</v>
      </c>
      <c r="F53">
        <v>300</v>
      </c>
      <c r="G53">
        <v>300</v>
      </c>
      <c r="H53" s="2">
        <f t="shared" si="0"/>
        <v>45016</v>
      </c>
    </row>
    <row r="54" spans="1:8">
      <c r="A54" s="1">
        <v>45120</v>
      </c>
      <c r="B54" t="s">
        <v>7</v>
      </c>
      <c r="C54">
        <v>34</v>
      </c>
      <c r="D54" t="s">
        <v>11</v>
      </c>
      <c r="E54">
        <v>2</v>
      </c>
      <c r="F54">
        <v>50</v>
      </c>
      <c r="G54">
        <v>100</v>
      </c>
      <c r="H54" s="2">
        <f t="shared" si="0"/>
        <v>45138</v>
      </c>
    </row>
    <row r="55" spans="1:8">
      <c r="A55" s="1">
        <v>44967</v>
      </c>
      <c r="B55" t="s">
        <v>9</v>
      </c>
      <c r="C55">
        <v>38</v>
      </c>
      <c r="D55" t="s">
        <v>11</v>
      </c>
      <c r="E55">
        <v>3</v>
      </c>
      <c r="F55">
        <v>500</v>
      </c>
      <c r="G55">
        <v>1500</v>
      </c>
      <c r="H55" s="2">
        <f t="shared" si="0"/>
        <v>44985</v>
      </c>
    </row>
    <row r="56" spans="1:8">
      <c r="A56" s="1">
        <v>45209</v>
      </c>
      <c r="B56" t="s">
        <v>7</v>
      </c>
      <c r="C56">
        <v>31</v>
      </c>
      <c r="D56" t="s">
        <v>8</v>
      </c>
      <c r="E56">
        <v>4</v>
      </c>
      <c r="F56">
        <v>30</v>
      </c>
      <c r="G56">
        <v>120</v>
      </c>
      <c r="H56" s="2">
        <f t="shared" si="0"/>
        <v>45230</v>
      </c>
    </row>
    <row r="57" spans="1:8">
      <c r="A57" s="1">
        <v>45077</v>
      </c>
      <c r="B57" t="s">
        <v>9</v>
      </c>
      <c r="C57">
        <v>26</v>
      </c>
      <c r="D57" t="s">
        <v>10</v>
      </c>
      <c r="E57">
        <v>3</v>
      </c>
      <c r="F57">
        <v>300</v>
      </c>
      <c r="G57">
        <v>900</v>
      </c>
      <c r="H57" s="2">
        <f t="shared" si="0"/>
        <v>45077</v>
      </c>
    </row>
    <row r="58" spans="1:8">
      <c r="A58" s="1">
        <v>45248</v>
      </c>
      <c r="B58" t="s">
        <v>9</v>
      </c>
      <c r="C58">
        <v>63</v>
      </c>
      <c r="D58" t="s">
        <v>8</v>
      </c>
      <c r="E58">
        <v>1</v>
      </c>
      <c r="F58">
        <v>30</v>
      </c>
      <c r="G58">
        <v>30</v>
      </c>
      <c r="H58" s="2">
        <f t="shared" si="0"/>
        <v>45260</v>
      </c>
    </row>
    <row r="59" spans="1:8">
      <c r="A59" s="1">
        <v>45243</v>
      </c>
      <c r="B59" t="s">
        <v>7</v>
      </c>
      <c r="C59">
        <v>18</v>
      </c>
      <c r="D59" t="s">
        <v>10</v>
      </c>
      <c r="E59">
        <v>4</v>
      </c>
      <c r="F59">
        <v>300</v>
      </c>
      <c r="G59">
        <v>1200</v>
      </c>
      <c r="H59" s="2">
        <f t="shared" si="0"/>
        <v>45260</v>
      </c>
    </row>
    <row r="60" spans="1:8">
      <c r="A60" s="1">
        <v>45112</v>
      </c>
      <c r="B60" t="s">
        <v>7</v>
      </c>
      <c r="C60">
        <v>62</v>
      </c>
      <c r="D60" t="s">
        <v>10</v>
      </c>
      <c r="E60">
        <v>1</v>
      </c>
      <c r="F60">
        <v>50</v>
      </c>
      <c r="G60">
        <v>50</v>
      </c>
      <c r="H60" s="2">
        <f t="shared" si="0"/>
        <v>45138</v>
      </c>
    </row>
    <row r="61" spans="1:8">
      <c r="A61" s="1">
        <v>45222</v>
      </c>
      <c r="B61" t="s">
        <v>7</v>
      </c>
      <c r="C61">
        <v>30</v>
      </c>
      <c r="D61" t="s">
        <v>8</v>
      </c>
      <c r="E61">
        <v>3</v>
      </c>
      <c r="F61">
        <v>50</v>
      </c>
      <c r="G61">
        <v>150</v>
      </c>
      <c r="H61" s="2">
        <f t="shared" si="0"/>
        <v>45230</v>
      </c>
    </row>
    <row r="62" spans="1:8">
      <c r="A62" s="1">
        <v>45025</v>
      </c>
      <c r="B62" t="s">
        <v>7</v>
      </c>
      <c r="C62">
        <v>21</v>
      </c>
      <c r="D62" t="s">
        <v>8</v>
      </c>
      <c r="E62">
        <v>4</v>
      </c>
      <c r="F62">
        <v>50</v>
      </c>
      <c r="G62">
        <v>200</v>
      </c>
      <c r="H62" s="2">
        <f t="shared" si="0"/>
        <v>45046</v>
      </c>
    </row>
    <row r="63" spans="1:8">
      <c r="A63" s="1">
        <v>45287</v>
      </c>
      <c r="B63" t="s">
        <v>7</v>
      </c>
      <c r="C63">
        <v>18</v>
      </c>
      <c r="D63" t="s">
        <v>8</v>
      </c>
      <c r="E63">
        <v>2</v>
      </c>
      <c r="F63">
        <v>50</v>
      </c>
      <c r="G63">
        <v>100</v>
      </c>
      <c r="H63" s="2">
        <f t="shared" si="0"/>
        <v>45291</v>
      </c>
    </row>
    <row r="64" spans="1:8">
      <c r="A64" s="1">
        <v>44962</v>
      </c>
      <c r="B64" t="s">
        <v>7</v>
      </c>
      <c r="C64">
        <v>57</v>
      </c>
      <c r="D64" t="s">
        <v>11</v>
      </c>
      <c r="E64">
        <v>2</v>
      </c>
      <c r="F64">
        <v>25</v>
      </c>
      <c r="G64">
        <v>50</v>
      </c>
      <c r="H64" s="2">
        <f t="shared" si="0"/>
        <v>44985</v>
      </c>
    </row>
    <row r="65" spans="1:8">
      <c r="A65" s="1">
        <v>44950</v>
      </c>
      <c r="B65" t="s">
        <v>7</v>
      </c>
      <c r="C65">
        <v>49</v>
      </c>
      <c r="D65" t="s">
        <v>10</v>
      </c>
      <c r="E65">
        <v>4</v>
      </c>
      <c r="F65">
        <v>25</v>
      </c>
      <c r="G65">
        <v>100</v>
      </c>
      <c r="H65" s="2">
        <f t="shared" si="0"/>
        <v>44957</v>
      </c>
    </row>
    <row r="66" spans="1:8">
      <c r="A66" s="1">
        <v>45265</v>
      </c>
      <c r="B66" t="s">
        <v>7</v>
      </c>
      <c r="C66">
        <v>51</v>
      </c>
      <c r="D66" t="s">
        <v>11</v>
      </c>
      <c r="E66">
        <v>4</v>
      </c>
      <c r="F66">
        <v>500</v>
      </c>
      <c r="G66">
        <v>2000</v>
      </c>
      <c r="H66" s="2">
        <f t="shared" si="0"/>
        <v>45291</v>
      </c>
    </row>
    <row r="67" spans="1:8">
      <c r="A67" s="1">
        <v>45043</v>
      </c>
      <c r="B67" t="s">
        <v>9</v>
      </c>
      <c r="C67">
        <v>45</v>
      </c>
      <c r="D67" t="s">
        <v>11</v>
      </c>
      <c r="E67">
        <v>1</v>
      </c>
      <c r="F67">
        <v>30</v>
      </c>
      <c r="G67">
        <v>30</v>
      </c>
      <c r="H67" s="2">
        <f t="shared" ref="H67:H130" si="1">EOMONTH(A67,0)</f>
        <v>45046</v>
      </c>
    </row>
    <row r="68" spans="1:8">
      <c r="A68" s="1">
        <v>45075</v>
      </c>
      <c r="B68" t="s">
        <v>9</v>
      </c>
      <c r="C68">
        <v>48</v>
      </c>
      <c r="D68" t="s">
        <v>8</v>
      </c>
      <c r="E68">
        <v>4</v>
      </c>
      <c r="F68">
        <v>300</v>
      </c>
      <c r="G68">
        <v>1200</v>
      </c>
      <c r="H68" s="2">
        <f t="shared" si="1"/>
        <v>45077</v>
      </c>
    </row>
    <row r="69" spans="1:8">
      <c r="A69" s="1">
        <v>44967</v>
      </c>
      <c r="B69" t="s">
        <v>7</v>
      </c>
      <c r="C69">
        <v>25</v>
      </c>
      <c r="D69" t="s">
        <v>11</v>
      </c>
      <c r="E69">
        <v>1</v>
      </c>
      <c r="F69">
        <v>300</v>
      </c>
      <c r="G69">
        <v>300</v>
      </c>
      <c r="H69" s="2">
        <f t="shared" si="1"/>
        <v>44985</v>
      </c>
    </row>
    <row r="70" spans="1:8">
      <c r="A70" s="1">
        <v>45046</v>
      </c>
      <c r="B70" t="s">
        <v>9</v>
      </c>
      <c r="C70">
        <v>56</v>
      </c>
      <c r="D70" t="s">
        <v>8</v>
      </c>
      <c r="E70">
        <v>3</v>
      </c>
      <c r="F70">
        <v>25</v>
      </c>
      <c r="G70">
        <v>75</v>
      </c>
      <c r="H70" s="2">
        <f t="shared" si="1"/>
        <v>45046</v>
      </c>
    </row>
    <row r="71" spans="1:8">
      <c r="A71" s="1">
        <v>44978</v>
      </c>
      <c r="B71" t="s">
        <v>9</v>
      </c>
      <c r="C71">
        <v>43</v>
      </c>
      <c r="D71" t="s">
        <v>10</v>
      </c>
      <c r="E71">
        <v>1</v>
      </c>
      <c r="F71">
        <v>300</v>
      </c>
      <c r="G71">
        <v>300</v>
      </c>
      <c r="H71" s="2">
        <f t="shared" si="1"/>
        <v>44985</v>
      </c>
    </row>
    <row r="72" spans="1:8">
      <c r="A72" s="1">
        <v>45121</v>
      </c>
      <c r="B72" t="s">
        <v>9</v>
      </c>
      <c r="C72">
        <v>51</v>
      </c>
      <c r="D72" t="s">
        <v>8</v>
      </c>
      <c r="E72">
        <v>4</v>
      </c>
      <c r="F72">
        <v>25</v>
      </c>
      <c r="G72">
        <v>100</v>
      </c>
      <c r="H72" s="2">
        <f t="shared" si="1"/>
        <v>45138</v>
      </c>
    </row>
    <row r="73" spans="1:8">
      <c r="A73" s="1">
        <v>45069</v>
      </c>
      <c r="B73" t="s">
        <v>9</v>
      </c>
      <c r="C73">
        <v>20</v>
      </c>
      <c r="D73" t="s">
        <v>11</v>
      </c>
      <c r="E73">
        <v>4</v>
      </c>
      <c r="F73">
        <v>500</v>
      </c>
      <c r="G73">
        <v>2000</v>
      </c>
      <c r="H73" s="2">
        <f t="shared" si="1"/>
        <v>45077</v>
      </c>
    </row>
    <row r="74" spans="1:8">
      <c r="A74" s="1">
        <v>45159</v>
      </c>
      <c r="B74" t="s">
        <v>7</v>
      </c>
      <c r="C74">
        <v>29</v>
      </c>
      <c r="D74" t="s">
        <v>11</v>
      </c>
      <c r="E74">
        <v>3</v>
      </c>
      <c r="F74">
        <v>30</v>
      </c>
      <c r="G74">
        <v>90</v>
      </c>
      <c r="H74" s="2">
        <f t="shared" si="1"/>
        <v>45169</v>
      </c>
    </row>
    <row r="75" spans="1:8">
      <c r="A75" s="1">
        <v>45252</v>
      </c>
      <c r="B75" t="s">
        <v>9</v>
      </c>
      <c r="C75">
        <v>18</v>
      </c>
      <c r="D75" t="s">
        <v>8</v>
      </c>
      <c r="E75">
        <v>4</v>
      </c>
      <c r="F75">
        <v>500</v>
      </c>
      <c r="G75">
        <v>2000</v>
      </c>
      <c r="H75" s="2">
        <f t="shared" si="1"/>
        <v>45260</v>
      </c>
    </row>
    <row r="76" spans="1:8">
      <c r="A76" s="1">
        <v>45113</v>
      </c>
      <c r="B76" t="s">
        <v>7</v>
      </c>
      <c r="C76">
        <v>61</v>
      </c>
      <c r="D76" t="s">
        <v>8</v>
      </c>
      <c r="E76">
        <v>4</v>
      </c>
      <c r="F76">
        <v>50</v>
      </c>
      <c r="G76">
        <v>200</v>
      </c>
      <c r="H76" s="2">
        <f t="shared" si="1"/>
        <v>45138</v>
      </c>
    </row>
    <row r="77" spans="1:8">
      <c r="A77" s="1">
        <v>45010</v>
      </c>
      <c r="B77" t="s">
        <v>9</v>
      </c>
      <c r="C77">
        <v>22</v>
      </c>
      <c r="D77" t="s">
        <v>11</v>
      </c>
      <c r="E77">
        <v>2</v>
      </c>
      <c r="F77">
        <v>50</v>
      </c>
      <c r="G77">
        <v>100</v>
      </c>
      <c r="H77" s="2">
        <f t="shared" si="1"/>
        <v>45016</v>
      </c>
    </row>
    <row r="78" spans="1:8">
      <c r="A78" s="1">
        <v>45116</v>
      </c>
      <c r="B78" t="s">
        <v>9</v>
      </c>
      <c r="C78">
        <v>47</v>
      </c>
      <c r="D78" t="s">
        <v>10</v>
      </c>
      <c r="E78">
        <v>2</v>
      </c>
      <c r="F78">
        <v>50</v>
      </c>
      <c r="G78">
        <v>100</v>
      </c>
      <c r="H78" s="2">
        <f t="shared" si="1"/>
        <v>45138</v>
      </c>
    </row>
    <row r="79" spans="1:8">
      <c r="A79" s="1">
        <v>45108</v>
      </c>
      <c r="B79" t="s">
        <v>9</v>
      </c>
      <c r="C79">
        <v>47</v>
      </c>
      <c r="D79" t="s">
        <v>10</v>
      </c>
      <c r="E79">
        <v>3</v>
      </c>
      <c r="F79">
        <v>500</v>
      </c>
      <c r="G79">
        <v>1500</v>
      </c>
      <c r="H79" s="2">
        <f t="shared" si="1"/>
        <v>45138</v>
      </c>
    </row>
    <row r="80" spans="1:8">
      <c r="A80" s="1">
        <v>45034</v>
      </c>
      <c r="B80" t="s">
        <v>7</v>
      </c>
      <c r="C80">
        <v>34</v>
      </c>
      <c r="D80" t="s">
        <v>8</v>
      </c>
      <c r="E80">
        <v>1</v>
      </c>
      <c r="F80">
        <v>300</v>
      </c>
      <c r="G80">
        <v>300</v>
      </c>
      <c r="H80" s="2">
        <f t="shared" si="1"/>
        <v>45046</v>
      </c>
    </row>
    <row r="81" spans="1:8">
      <c r="A81" s="1">
        <v>45270</v>
      </c>
      <c r="B81" t="s">
        <v>9</v>
      </c>
      <c r="C81">
        <v>64</v>
      </c>
      <c r="D81" t="s">
        <v>10</v>
      </c>
      <c r="E81">
        <v>2</v>
      </c>
      <c r="F81">
        <v>30</v>
      </c>
      <c r="G81">
        <v>60</v>
      </c>
      <c r="H81" s="2">
        <f t="shared" si="1"/>
        <v>45291</v>
      </c>
    </row>
    <row r="82" spans="1:8">
      <c r="A82" s="1">
        <v>45063</v>
      </c>
      <c r="B82" t="s">
        <v>7</v>
      </c>
      <c r="C82">
        <v>40</v>
      </c>
      <c r="D82" t="s">
        <v>11</v>
      </c>
      <c r="E82">
        <v>1</v>
      </c>
      <c r="F82">
        <v>50</v>
      </c>
      <c r="G82">
        <v>50</v>
      </c>
      <c r="H82" s="2">
        <f t="shared" si="1"/>
        <v>45077</v>
      </c>
    </row>
    <row r="83" spans="1:8">
      <c r="A83" s="1">
        <v>45286</v>
      </c>
      <c r="B83" t="s">
        <v>9</v>
      </c>
      <c r="C83">
        <v>32</v>
      </c>
      <c r="D83" t="s">
        <v>8</v>
      </c>
      <c r="E83">
        <v>4</v>
      </c>
      <c r="F83">
        <v>50</v>
      </c>
      <c r="G83">
        <v>200</v>
      </c>
      <c r="H83" s="2">
        <f t="shared" si="1"/>
        <v>45291</v>
      </c>
    </row>
    <row r="84" spans="1:8">
      <c r="A84" s="1">
        <v>45276</v>
      </c>
      <c r="B84" t="s">
        <v>7</v>
      </c>
      <c r="C84">
        <v>54</v>
      </c>
      <c r="D84" t="s">
        <v>11</v>
      </c>
      <c r="E84">
        <v>2</v>
      </c>
      <c r="F84">
        <v>50</v>
      </c>
      <c r="G84">
        <v>100</v>
      </c>
      <c r="H84" s="2">
        <f t="shared" si="1"/>
        <v>45291</v>
      </c>
    </row>
    <row r="85" spans="1:8">
      <c r="A85" s="1">
        <v>45258</v>
      </c>
      <c r="B85" t="s">
        <v>9</v>
      </c>
      <c r="C85">
        <v>38</v>
      </c>
      <c r="D85" t="s">
        <v>11</v>
      </c>
      <c r="E85">
        <v>3</v>
      </c>
      <c r="F85">
        <v>30</v>
      </c>
      <c r="G85">
        <v>90</v>
      </c>
      <c r="H85" s="2">
        <f t="shared" si="1"/>
        <v>45260</v>
      </c>
    </row>
    <row r="86" spans="1:8">
      <c r="A86" s="1">
        <v>44963</v>
      </c>
      <c r="B86" t="s">
        <v>7</v>
      </c>
      <c r="C86">
        <v>31</v>
      </c>
      <c r="D86" t="s">
        <v>10</v>
      </c>
      <c r="E86">
        <v>3</v>
      </c>
      <c r="F86">
        <v>50</v>
      </c>
      <c r="G86">
        <v>150</v>
      </c>
      <c r="H86" s="2">
        <f t="shared" si="1"/>
        <v>44985</v>
      </c>
    </row>
    <row r="87" spans="1:8">
      <c r="A87" s="1">
        <v>45238</v>
      </c>
      <c r="B87" t="s">
        <v>7</v>
      </c>
      <c r="C87">
        <v>19</v>
      </c>
      <c r="D87" t="s">
        <v>8</v>
      </c>
      <c r="E87">
        <v>3</v>
      </c>
      <c r="F87">
        <v>30</v>
      </c>
      <c r="G87">
        <v>90</v>
      </c>
      <c r="H87" s="2">
        <f t="shared" si="1"/>
        <v>45260</v>
      </c>
    </row>
    <row r="88" spans="1:8">
      <c r="A88" s="1">
        <v>45252</v>
      </c>
      <c r="B88" t="s">
        <v>9</v>
      </c>
      <c r="C88">
        <v>28</v>
      </c>
      <c r="D88" t="s">
        <v>8</v>
      </c>
      <c r="E88">
        <v>2</v>
      </c>
      <c r="F88">
        <v>50</v>
      </c>
      <c r="G88">
        <v>100</v>
      </c>
      <c r="H88" s="2">
        <f t="shared" si="1"/>
        <v>45260</v>
      </c>
    </row>
    <row r="89" spans="1:8">
      <c r="A89" s="1">
        <v>45014</v>
      </c>
      <c r="B89" t="s">
        <v>7</v>
      </c>
      <c r="C89">
        <v>56</v>
      </c>
      <c r="D89" t="s">
        <v>10</v>
      </c>
      <c r="E89">
        <v>1</v>
      </c>
      <c r="F89">
        <v>500</v>
      </c>
      <c r="G89">
        <v>500</v>
      </c>
      <c r="H89" s="2">
        <f t="shared" si="1"/>
        <v>45016</v>
      </c>
    </row>
    <row r="90" spans="1:8">
      <c r="A90" s="1">
        <v>45200</v>
      </c>
      <c r="B90" t="s">
        <v>9</v>
      </c>
      <c r="C90">
        <v>55</v>
      </c>
      <c r="D90" t="s">
        <v>11</v>
      </c>
      <c r="E90">
        <v>4</v>
      </c>
      <c r="F90">
        <v>500</v>
      </c>
      <c r="G90">
        <v>2000</v>
      </c>
      <c r="H90" s="2">
        <f t="shared" si="1"/>
        <v>45230</v>
      </c>
    </row>
    <row r="91" spans="1:8">
      <c r="A91" s="1">
        <v>45052</v>
      </c>
      <c r="B91" t="s">
        <v>9</v>
      </c>
      <c r="C91">
        <v>51</v>
      </c>
      <c r="D91" t="s">
        <v>11</v>
      </c>
      <c r="E91">
        <v>1</v>
      </c>
      <c r="F91">
        <v>30</v>
      </c>
      <c r="G91">
        <v>30</v>
      </c>
      <c r="H91" s="2">
        <f t="shared" si="1"/>
        <v>45077</v>
      </c>
    </row>
    <row r="92" spans="1:8">
      <c r="A92" s="1">
        <v>45010</v>
      </c>
      <c r="B92" t="s">
        <v>9</v>
      </c>
      <c r="C92">
        <v>55</v>
      </c>
      <c r="D92" t="s">
        <v>11</v>
      </c>
      <c r="E92">
        <v>1</v>
      </c>
      <c r="F92">
        <v>500</v>
      </c>
      <c r="G92">
        <v>500</v>
      </c>
      <c r="H92" s="2">
        <f t="shared" si="1"/>
        <v>45016</v>
      </c>
    </row>
    <row r="93" spans="1:8">
      <c r="A93" s="1">
        <v>45163</v>
      </c>
      <c r="B93" t="s">
        <v>9</v>
      </c>
      <c r="C93">
        <v>51</v>
      </c>
      <c r="D93" t="s">
        <v>11</v>
      </c>
      <c r="E93">
        <v>4</v>
      </c>
      <c r="F93">
        <v>30</v>
      </c>
      <c r="G93">
        <v>120</v>
      </c>
      <c r="H93" s="2">
        <f t="shared" si="1"/>
        <v>45169</v>
      </c>
    </row>
    <row r="94" spans="1:8">
      <c r="A94" s="1">
        <v>45121</v>
      </c>
      <c r="B94" t="s">
        <v>9</v>
      </c>
      <c r="C94">
        <v>35</v>
      </c>
      <c r="D94" t="s">
        <v>8</v>
      </c>
      <c r="E94">
        <v>4</v>
      </c>
      <c r="F94">
        <v>500</v>
      </c>
      <c r="G94">
        <v>2000</v>
      </c>
      <c r="H94" s="2">
        <f t="shared" si="1"/>
        <v>45138</v>
      </c>
    </row>
    <row r="95" spans="1:8">
      <c r="A95" s="1">
        <v>45065</v>
      </c>
      <c r="B95" t="s">
        <v>9</v>
      </c>
      <c r="C95">
        <v>47</v>
      </c>
      <c r="D95" t="s">
        <v>8</v>
      </c>
      <c r="E95">
        <v>2</v>
      </c>
      <c r="F95">
        <v>500</v>
      </c>
      <c r="G95">
        <v>1000</v>
      </c>
      <c r="H95" s="2">
        <f t="shared" si="1"/>
        <v>45077</v>
      </c>
    </row>
    <row r="96" spans="1:8">
      <c r="A96" s="1">
        <v>45254</v>
      </c>
      <c r="B96" t="s">
        <v>9</v>
      </c>
      <c r="C96">
        <v>32</v>
      </c>
      <c r="D96" t="s">
        <v>10</v>
      </c>
      <c r="E96">
        <v>2</v>
      </c>
      <c r="F96">
        <v>30</v>
      </c>
      <c r="G96">
        <v>60</v>
      </c>
      <c r="H96" s="2">
        <f t="shared" si="1"/>
        <v>45260</v>
      </c>
    </row>
    <row r="97" spans="1:8">
      <c r="A97" s="1">
        <v>45279</v>
      </c>
      <c r="B97" t="s">
        <v>9</v>
      </c>
      <c r="C97">
        <v>44</v>
      </c>
      <c r="D97" t="s">
        <v>10</v>
      </c>
      <c r="E97">
        <v>2</v>
      </c>
      <c r="F97">
        <v>300</v>
      </c>
      <c r="G97">
        <v>600</v>
      </c>
      <c r="H97" s="2">
        <f t="shared" si="1"/>
        <v>45291</v>
      </c>
    </row>
    <row r="98" spans="1:8">
      <c r="A98" s="1">
        <v>45212</v>
      </c>
      <c r="B98" t="s">
        <v>9</v>
      </c>
      <c r="C98">
        <v>51</v>
      </c>
      <c r="D98" t="s">
        <v>8</v>
      </c>
      <c r="E98">
        <v>2</v>
      </c>
      <c r="F98">
        <v>500</v>
      </c>
      <c r="G98">
        <v>1000</v>
      </c>
      <c r="H98" s="2">
        <f t="shared" si="1"/>
        <v>45230</v>
      </c>
    </row>
    <row r="99" spans="1:8">
      <c r="A99" s="1">
        <v>45039</v>
      </c>
      <c r="B99" t="s">
        <v>9</v>
      </c>
      <c r="C99">
        <v>55</v>
      </c>
      <c r="D99" t="s">
        <v>8</v>
      </c>
      <c r="E99">
        <v>2</v>
      </c>
      <c r="F99">
        <v>50</v>
      </c>
      <c r="G99">
        <v>100</v>
      </c>
      <c r="H99" s="2">
        <f t="shared" si="1"/>
        <v>45046</v>
      </c>
    </row>
    <row r="100" spans="1:8">
      <c r="A100" s="1">
        <v>45277</v>
      </c>
      <c r="B100" t="s">
        <v>9</v>
      </c>
      <c r="C100">
        <v>50</v>
      </c>
      <c r="D100" t="s">
        <v>11</v>
      </c>
      <c r="E100">
        <v>4</v>
      </c>
      <c r="F100">
        <v>300</v>
      </c>
      <c r="G100">
        <v>1200</v>
      </c>
      <c r="H100" s="2">
        <f t="shared" si="1"/>
        <v>45291</v>
      </c>
    </row>
    <row r="101" spans="1:8">
      <c r="A101" s="1">
        <v>45093</v>
      </c>
      <c r="B101" t="s">
        <v>7</v>
      </c>
      <c r="C101">
        <v>41</v>
      </c>
      <c r="D101" t="s">
        <v>11</v>
      </c>
      <c r="E101">
        <v>1</v>
      </c>
      <c r="F101">
        <v>30</v>
      </c>
      <c r="G101">
        <v>30</v>
      </c>
      <c r="H101" s="2">
        <f t="shared" si="1"/>
        <v>45107</v>
      </c>
    </row>
    <row r="102" spans="1:8">
      <c r="A102" s="1">
        <v>44955</v>
      </c>
      <c r="B102" t="s">
        <v>7</v>
      </c>
      <c r="C102">
        <v>32</v>
      </c>
      <c r="D102" t="s">
        <v>10</v>
      </c>
      <c r="E102">
        <v>2</v>
      </c>
      <c r="F102">
        <v>300</v>
      </c>
      <c r="G102">
        <v>600</v>
      </c>
      <c r="H102" s="2">
        <f t="shared" si="1"/>
        <v>44957</v>
      </c>
    </row>
    <row r="103" spans="1:8">
      <c r="A103" s="1">
        <v>45044</v>
      </c>
      <c r="B103" t="s">
        <v>9</v>
      </c>
      <c r="C103">
        <v>47</v>
      </c>
      <c r="D103" t="s">
        <v>8</v>
      </c>
      <c r="E103">
        <v>2</v>
      </c>
      <c r="F103">
        <v>25</v>
      </c>
      <c r="G103">
        <v>50</v>
      </c>
      <c r="H103" s="2">
        <f t="shared" si="1"/>
        <v>45046</v>
      </c>
    </row>
    <row r="104" spans="1:8">
      <c r="A104" s="1">
        <v>44943</v>
      </c>
      <c r="B104" t="s">
        <v>9</v>
      </c>
      <c r="C104">
        <v>59</v>
      </c>
      <c r="D104" t="s">
        <v>10</v>
      </c>
      <c r="E104">
        <v>1</v>
      </c>
      <c r="F104">
        <v>25</v>
      </c>
      <c r="G104">
        <v>25</v>
      </c>
      <c r="H104" s="2">
        <f t="shared" si="1"/>
        <v>44957</v>
      </c>
    </row>
    <row r="105" spans="1:8">
      <c r="A105" s="1">
        <v>45088</v>
      </c>
      <c r="B105" t="s">
        <v>9</v>
      </c>
      <c r="C105">
        <v>34</v>
      </c>
      <c r="D105" t="s">
        <v>8</v>
      </c>
      <c r="E105">
        <v>2</v>
      </c>
      <c r="F105">
        <v>500</v>
      </c>
      <c r="G105">
        <v>1000</v>
      </c>
      <c r="H105" s="2">
        <f t="shared" si="1"/>
        <v>45107</v>
      </c>
    </row>
    <row r="106" spans="1:8">
      <c r="A106" s="1">
        <v>45132</v>
      </c>
      <c r="B106" t="s">
        <v>9</v>
      </c>
      <c r="C106">
        <v>22</v>
      </c>
      <c r="D106" t="s">
        <v>11</v>
      </c>
      <c r="E106">
        <v>1</v>
      </c>
      <c r="F106">
        <v>500</v>
      </c>
      <c r="G106">
        <v>500</v>
      </c>
      <c r="H106" s="2">
        <f t="shared" si="1"/>
        <v>45138</v>
      </c>
    </row>
    <row r="107" spans="1:8">
      <c r="A107" s="1">
        <v>45064</v>
      </c>
      <c r="B107" t="s">
        <v>9</v>
      </c>
      <c r="C107">
        <v>46</v>
      </c>
      <c r="D107" t="s">
        <v>10</v>
      </c>
      <c r="E107">
        <v>1</v>
      </c>
      <c r="F107">
        <v>50</v>
      </c>
      <c r="G107">
        <v>50</v>
      </c>
      <c r="H107" s="2">
        <f t="shared" si="1"/>
        <v>45077</v>
      </c>
    </row>
    <row r="108" spans="1:8">
      <c r="A108" s="1">
        <v>44960</v>
      </c>
      <c r="B108" t="s">
        <v>9</v>
      </c>
      <c r="C108">
        <v>21</v>
      </c>
      <c r="D108" t="s">
        <v>10</v>
      </c>
      <c r="E108">
        <v>4</v>
      </c>
      <c r="F108">
        <v>300</v>
      </c>
      <c r="G108">
        <v>1200</v>
      </c>
      <c r="H108" s="2">
        <f t="shared" si="1"/>
        <v>44985</v>
      </c>
    </row>
    <row r="109" spans="1:8">
      <c r="A109" s="1">
        <v>45035</v>
      </c>
      <c r="B109" t="s">
        <v>9</v>
      </c>
      <c r="C109">
        <v>27</v>
      </c>
      <c r="D109" t="s">
        <v>8</v>
      </c>
      <c r="E109">
        <v>3</v>
      </c>
      <c r="F109">
        <v>25</v>
      </c>
      <c r="G109">
        <v>75</v>
      </c>
      <c r="H109" s="2">
        <f t="shared" si="1"/>
        <v>45046</v>
      </c>
    </row>
    <row r="110" spans="1:8">
      <c r="A110" s="1">
        <v>45217</v>
      </c>
      <c r="B110" t="s">
        <v>9</v>
      </c>
      <c r="C110">
        <v>34</v>
      </c>
      <c r="D110" t="s">
        <v>11</v>
      </c>
      <c r="E110">
        <v>4</v>
      </c>
      <c r="F110">
        <v>500</v>
      </c>
      <c r="G110">
        <v>2000</v>
      </c>
      <c r="H110" s="2">
        <f t="shared" si="1"/>
        <v>45230</v>
      </c>
    </row>
    <row r="111" spans="1:8">
      <c r="A111" s="1">
        <v>45088</v>
      </c>
      <c r="B111" t="s">
        <v>7</v>
      </c>
      <c r="C111">
        <v>27</v>
      </c>
      <c r="D111" t="s">
        <v>10</v>
      </c>
      <c r="E111">
        <v>3</v>
      </c>
      <c r="F111">
        <v>300</v>
      </c>
      <c r="G111">
        <v>900</v>
      </c>
      <c r="H111" s="2">
        <f t="shared" si="1"/>
        <v>45107</v>
      </c>
    </row>
    <row r="112" spans="1:8">
      <c r="A112" s="1">
        <v>45035</v>
      </c>
      <c r="B112" t="s">
        <v>9</v>
      </c>
      <c r="C112">
        <v>34</v>
      </c>
      <c r="D112" t="s">
        <v>11</v>
      </c>
      <c r="E112">
        <v>3</v>
      </c>
      <c r="F112">
        <v>500</v>
      </c>
      <c r="G112">
        <v>1500</v>
      </c>
      <c r="H112" s="2">
        <f t="shared" si="1"/>
        <v>45046</v>
      </c>
    </row>
    <row r="113" spans="1:8">
      <c r="A113" s="1">
        <v>45262</v>
      </c>
      <c r="B113" t="s">
        <v>7</v>
      </c>
      <c r="C113">
        <v>37</v>
      </c>
      <c r="D113" t="s">
        <v>10</v>
      </c>
      <c r="E113">
        <v>3</v>
      </c>
      <c r="F113">
        <v>500</v>
      </c>
      <c r="G113">
        <v>1500</v>
      </c>
      <c r="H113" s="2">
        <f t="shared" si="1"/>
        <v>45291</v>
      </c>
    </row>
    <row r="114" spans="1:8">
      <c r="A114" s="1">
        <v>45182</v>
      </c>
      <c r="B114" t="s">
        <v>9</v>
      </c>
      <c r="C114">
        <v>41</v>
      </c>
      <c r="D114" t="s">
        <v>11</v>
      </c>
      <c r="E114">
        <v>2</v>
      </c>
      <c r="F114">
        <v>25</v>
      </c>
      <c r="G114">
        <v>50</v>
      </c>
      <c r="H114" s="2">
        <f t="shared" si="1"/>
        <v>45199</v>
      </c>
    </row>
    <row r="115" spans="1:8">
      <c r="A115" s="1">
        <v>45129</v>
      </c>
      <c r="B115" t="s">
        <v>9</v>
      </c>
      <c r="C115">
        <v>22</v>
      </c>
      <c r="D115" t="s">
        <v>8</v>
      </c>
      <c r="E115">
        <v>4</v>
      </c>
      <c r="F115">
        <v>25</v>
      </c>
      <c r="G115">
        <v>100</v>
      </c>
      <c r="H115" s="2">
        <f t="shared" si="1"/>
        <v>45138</v>
      </c>
    </row>
    <row r="116" spans="1:8">
      <c r="A116" s="1">
        <v>45256</v>
      </c>
      <c r="B116" t="s">
        <v>7</v>
      </c>
      <c r="C116">
        <v>51</v>
      </c>
      <c r="D116" t="s">
        <v>10</v>
      </c>
      <c r="E116">
        <v>3</v>
      </c>
      <c r="F116">
        <v>500</v>
      </c>
      <c r="G116">
        <v>1500</v>
      </c>
      <c r="H116" s="2">
        <f t="shared" si="1"/>
        <v>45260</v>
      </c>
    </row>
    <row r="117" spans="1:8">
      <c r="A117" s="1">
        <v>45161</v>
      </c>
      <c r="B117" t="s">
        <v>9</v>
      </c>
      <c r="C117">
        <v>23</v>
      </c>
      <c r="D117" t="s">
        <v>10</v>
      </c>
      <c r="E117">
        <v>1</v>
      </c>
      <c r="F117">
        <v>30</v>
      </c>
      <c r="G117">
        <v>30</v>
      </c>
      <c r="H117" s="2">
        <f t="shared" si="1"/>
        <v>45169</v>
      </c>
    </row>
    <row r="118" spans="1:8">
      <c r="A118" s="1">
        <v>45000</v>
      </c>
      <c r="B118" t="s">
        <v>7</v>
      </c>
      <c r="C118">
        <v>19</v>
      </c>
      <c r="D118" t="s">
        <v>11</v>
      </c>
      <c r="E118">
        <v>2</v>
      </c>
      <c r="F118">
        <v>500</v>
      </c>
      <c r="G118">
        <v>1000</v>
      </c>
      <c r="H118" s="2">
        <f t="shared" si="1"/>
        <v>45016</v>
      </c>
    </row>
    <row r="119" spans="1:8">
      <c r="A119" s="1">
        <v>45062</v>
      </c>
      <c r="B119" t="s">
        <v>9</v>
      </c>
      <c r="C119">
        <v>30</v>
      </c>
      <c r="D119" t="s">
        <v>11</v>
      </c>
      <c r="E119">
        <v>4</v>
      </c>
      <c r="F119">
        <v>500</v>
      </c>
      <c r="G119">
        <v>2000</v>
      </c>
      <c r="H119" s="2">
        <f t="shared" si="1"/>
        <v>45077</v>
      </c>
    </row>
    <row r="120" spans="1:8">
      <c r="A120" s="1">
        <v>44998</v>
      </c>
      <c r="B120" t="s">
        <v>9</v>
      </c>
      <c r="C120">
        <v>60</v>
      </c>
      <c r="D120" t="s">
        <v>10</v>
      </c>
      <c r="E120">
        <v>3</v>
      </c>
      <c r="F120">
        <v>50</v>
      </c>
      <c r="G120">
        <v>150</v>
      </c>
      <c r="H120" s="2">
        <f t="shared" si="1"/>
        <v>45016</v>
      </c>
    </row>
    <row r="121" spans="1:8">
      <c r="A121" s="1">
        <v>45053</v>
      </c>
      <c r="B121" t="s">
        <v>7</v>
      </c>
      <c r="C121">
        <v>60</v>
      </c>
      <c r="D121" t="s">
        <v>8</v>
      </c>
      <c r="E121">
        <v>1</v>
      </c>
      <c r="F121">
        <v>50</v>
      </c>
      <c r="G121">
        <v>50</v>
      </c>
      <c r="H121" s="2">
        <f t="shared" si="1"/>
        <v>45077</v>
      </c>
    </row>
    <row r="122" spans="1:8">
      <c r="A122" s="1">
        <v>45214</v>
      </c>
      <c r="B122" t="s">
        <v>9</v>
      </c>
      <c r="C122">
        <v>28</v>
      </c>
      <c r="D122" t="s">
        <v>11</v>
      </c>
      <c r="E122">
        <v>4</v>
      </c>
      <c r="F122">
        <v>50</v>
      </c>
      <c r="G122">
        <v>200</v>
      </c>
      <c r="H122" s="2">
        <f t="shared" si="1"/>
        <v>45230</v>
      </c>
    </row>
    <row r="123" spans="1:8">
      <c r="A123" s="1">
        <v>45202</v>
      </c>
      <c r="B123" t="s">
        <v>7</v>
      </c>
      <c r="C123">
        <v>64</v>
      </c>
      <c r="D123" t="s">
        <v>11</v>
      </c>
      <c r="E123">
        <v>4</v>
      </c>
      <c r="F123">
        <v>30</v>
      </c>
      <c r="G123">
        <v>120</v>
      </c>
      <c r="H123" s="2">
        <f t="shared" si="1"/>
        <v>45230</v>
      </c>
    </row>
    <row r="124" spans="1:8">
      <c r="A124" s="1">
        <v>45061</v>
      </c>
      <c r="B124" t="s">
        <v>9</v>
      </c>
      <c r="C124">
        <v>40</v>
      </c>
      <c r="D124" t="s">
        <v>11</v>
      </c>
      <c r="E124">
        <v>2</v>
      </c>
      <c r="F124">
        <v>30</v>
      </c>
      <c r="G124">
        <v>60</v>
      </c>
      <c r="H124" s="2">
        <f t="shared" si="1"/>
        <v>45077</v>
      </c>
    </row>
    <row r="125" spans="1:8">
      <c r="A125" s="1">
        <v>45226</v>
      </c>
      <c r="B125" t="s">
        <v>7</v>
      </c>
      <c r="C125">
        <v>33</v>
      </c>
      <c r="D125" t="s">
        <v>10</v>
      </c>
      <c r="E125">
        <v>4</v>
      </c>
      <c r="F125">
        <v>500</v>
      </c>
      <c r="G125">
        <v>2000</v>
      </c>
      <c r="H125" s="2">
        <f t="shared" si="1"/>
        <v>45230</v>
      </c>
    </row>
    <row r="126" spans="1:8">
      <c r="A126" s="1">
        <v>45146</v>
      </c>
      <c r="B126" t="s">
        <v>7</v>
      </c>
      <c r="C126">
        <v>48</v>
      </c>
      <c r="D126" t="s">
        <v>10</v>
      </c>
      <c r="E126">
        <v>2</v>
      </c>
      <c r="F126">
        <v>50</v>
      </c>
      <c r="G126">
        <v>100</v>
      </c>
      <c r="H126" s="2">
        <f t="shared" si="1"/>
        <v>45169</v>
      </c>
    </row>
    <row r="127" spans="1:8">
      <c r="A127" s="1">
        <v>45225</v>
      </c>
      <c r="B127" t="s">
        <v>9</v>
      </c>
      <c r="C127">
        <v>28</v>
      </c>
      <c r="D127" t="s">
        <v>10</v>
      </c>
      <c r="E127">
        <v>3</v>
      </c>
      <c r="F127">
        <v>30</v>
      </c>
      <c r="G127">
        <v>90</v>
      </c>
      <c r="H127" s="2">
        <f t="shared" si="1"/>
        <v>45230</v>
      </c>
    </row>
    <row r="128" spans="1:8">
      <c r="A128" s="1">
        <v>45131</v>
      </c>
      <c r="B128" t="s">
        <v>9</v>
      </c>
      <c r="C128">
        <v>33</v>
      </c>
      <c r="D128" t="s">
        <v>10</v>
      </c>
      <c r="E128">
        <v>2</v>
      </c>
      <c r="F128">
        <v>25</v>
      </c>
      <c r="G128">
        <v>50</v>
      </c>
      <c r="H128" s="2">
        <f t="shared" si="1"/>
        <v>45138</v>
      </c>
    </row>
    <row r="129" spans="1:8">
      <c r="A129" s="1">
        <v>45112</v>
      </c>
      <c r="B129" t="s">
        <v>7</v>
      </c>
      <c r="C129">
        <v>25</v>
      </c>
      <c r="D129" t="s">
        <v>8</v>
      </c>
      <c r="E129">
        <v>1</v>
      </c>
      <c r="F129">
        <v>500</v>
      </c>
      <c r="G129">
        <v>500</v>
      </c>
      <c r="H129" s="2">
        <f t="shared" si="1"/>
        <v>45138</v>
      </c>
    </row>
    <row r="130" spans="1:8">
      <c r="A130" s="1">
        <v>45039</v>
      </c>
      <c r="B130" t="s">
        <v>9</v>
      </c>
      <c r="C130">
        <v>21</v>
      </c>
      <c r="D130" t="s">
        <v>8</v>
      </c>
      <c r="E130">
        <v>2</v>
      </c>
      <c r="F130">
        <v>300</v>
      </c>
      <c r="G130">
        <v>600</v>
      </c>
      <c r="H130" s="2">
        <f t="shared" si="1"/>
        <v>45046</v>
      </c>
    </row>
    <row r="131" spans="1:8">
      <c r="A131" s="1">
        <v>44997</v>
      </c>
      <c r="B131" t="s">
        <v>9</v>
      </c>
      <c r="C131">
        <v>57</v>
      </c>
      <c r="D131" t="s">
        <v>10</v>
      </c>
      <c r="E131">
        <v>1</v>
      </c>
      <c r="F131">
        <v>500</v>
      </c>
      <c r="G131">
        <v>500</v>
      </c>
      <c r="H131" s="2">
        <f t="shared" ref="H131:H194" si="2">EOMONTH(A131,0)</f>
        <v>45016</v>
      </c>
    </row>
    <row r="132" spans="1:8">
      <c r="A132" s="1">
        <v>45187</v>
      </c>
      <c r="B132" t="s">
        <v>9</v>
      </c>
      <c r="C132">
        <v>21</v>
      </c>
      <c r="D132" t="s">
        <v>8</v>
      </c>
      <c r="E132">
        <v>2</v>
      </c>
      <c r="F132">
        <v>300</v>
      </c>
      <c r="G132">
        <v>600</v>
      </c>
      <c r="H132" s="2">
        <f t="shared" si="2"/>
        <v>45199</v>
      </c>
    </row>
    <row r="133" spans="1:8">
      <c r="A133" s="1">
        <v>45179</v>
      </c>
      <c r="B133" t="s">
        <v>7</v>
      </c>
      <c r="C133">
        <v>42</v>
      </c>
      <c r="D133" t="s">
        <v>11</v>
      </c>
      <c r="E133">
        <v>4</v>
      </c>
      <c r="F133">
        <v>50</v>
      </c>
      <c r="G133">
        <v>200</v>
      </c>
      <c r="H133" s="2">
        <f t="shared" si="2"/>
        <v>45199</v>
      </c>
    </row>
    <row r="134" spans="1:8">
      <c r="A134" s="1">
        <v>44973</v>
      </c>
      <c r="B134" t="s">
        <v>7</v>
      </c>
      <c r="C134">
        <v>20</v>
      </c>
      <c r="D134" t="s">
        <v>11</v>
      </c>
      <c r="E134">
        <v>3</v>
      </c>
      <c r="F134">
        <v>300</v>
      </c>
      <c r="G134">
        <v>900</v>
      </c>
      <c r="H134" s="2">
        <f t="shared" si="2"/>
        <v>44985</v>
      </c>
    </row>
    <row r="135" spans="1:8">
      <c r="A135" s="1">
        <v>44951</v>
      </c>
      <c r="B135" t="s">
        <v>7</v>
      </c>
      <c r="C135">
        <v>49</v>
      </c>
      <c r="D135" t="s">
        <v>11</v>
      </c>
      <c r="E135">
        <v>1</v>
      </c>
      <c r="F135">
        <v>50</v>
      </c>
      <c r="G135">
        <v>50</v>
      </c>
      <c r="H135" s="2">
        <f t="shared" si="2"/>
        <v>44957</v>
      </c>
    </row>
    <row r="136" spans="1:8">
      <c r="A136" s="1">
        <v>44983</v>
      </c>
      <c r="B136" t="s">
        <v>7</v>
      </c>
      <c r="C136">
        <v>20</v>
      </c>
      <c r="D136" t="s">
        <v>10</v>
      </c>
      <c r="E136">
        <v>2</v>
      </c>
      <c r="F136">
        <v>25</v>
      </c>
      <c r="G136">
        <v>50</v>
      </c>
      <c r="H136" s="2">
        <f t="shared" si="2"/>
        <v>44985</v>
      </c>
    </row>
    <row r="137" spans="1:8">
      <c r="A137" s="1">
        <v>45005</v>
      </c>
      <c r="B137" t="s">
        <v>7</v>
      </c>
      <c r="C137">
        <v>44</v>
      </c>
      <c r="D137" t="s">
        <v>11</v>
      </c>
      <c r="E137">
        <v>2</v>
      </c>
      <c r="F137">
        <v>300</v>
      </c>
      <c r="G137">
        <v>600</v>
      </c>
      <c r="H137" s="2">
        <f t="shared" si="2"/>
        <v>45016</v>
      </c>
    </row>
    <row r="138" spans="1:8">
      <c r="A138" s="1">
        <v>45248</v>
      </c>
      <c r="B138" t="s">
        <v>7</v>
      </c>
      <c r="C138">
        <v>46</v>
      </c>
      <c r="D138" t="s">
        <v>8</v>
      </c>
      <c r="E138">
        <v>2</v>
      </c>
      <c r="F138">
        <v>500</v>
      </c>
      <c r="G138">
        <v>1000</v>
      </c>
      <c r="H138" s="2">
        <f t="shared" si="2"/>
        <v>45260</v>
      </c>
    </row>
    <row r="139" spans="1:8">
      <c r="A139" s="1">
        <v>45008</v>
      </c>
      <c r="B139" t="s">
        <v>7</v>
      </c>
      <c r="C139">
        <v>49</v>
      </c>
      <c r="D139" t="s">
        <v>10</v>
      </c>
      <c r="E139">
        <v>4</v>
      </c>
      <c r="F139">
        <v>50</v>
      </c>
      <c r="G139">
        <v>200</v>
      </c>
      <c r="H139" s="2">
        <f t="shared" si="2"/>
        <v>45016</v>
      </c>
    </row>
    <row r="140" spans="1:8">
      <c r="A140" s="1">
        <v>45275</v>
      </c>
      <c r="B140" t="s">
        <v>7</v>
      </c>
      <c r="C140">
        <v>36</v>
      </c>
      <c r="D140" t="s">
        <v>8</v>
      </c>
      <c r="E140">
        <v>4</v>
      </c>
      <c r="F140">
        <v>500</v>
      </c>
      <c r="G140">
        <v>2000</v>
      </c>
      <c r="H140" s="2">
        <f t="shared" si="2"/>
        <v>45291</v>
      </c>
    </row>
    <row r="141" spans="1:8">
      <c r="A141" s="1">
        <v>45143</v>
      </c>
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30</v>
      </c>
      <c r="H141" s="2">
        <f t="shared" si="2"/>
        <v>45169</v>
      </c>
    </row>
    <row r="142" spans="1:8">
      <c r="A142" s="1">
        <v>45232</v>
      </c>
      <c r="B142" t="s">
        <v>9</v>
      </c>
      <c r="C142">
        <v>22</v>
      </c>
      <c r="D142" t="s">
        <v>11</v>
      </c>
      <c r="E142">
        <v>1</v>
      </c>
      <c r="F142">
        <v>50</v>
      </c>
      <c r="G142">
        <v>50</v>
      </c>
      <c r="H142" s="2">
        <f t="shared" si="2"/>
        <v>45260</v>
      </c>
    </row>
    <row r="143" spans="1:8">
      <c r="A143" s="1">
        <v>44959</v>
      </c>
      <c r="B143" t="s">
        <v>7</v>
      </c>
      <c r="C143">
        <v>35</v>
      </c>
      <c r="D143" t="s">
        <v>11</v>
      </c>
      <c r="E143">
        <v>4</v>
      </c>
      <c r="F143">
        <v>300</v>
      </c>
      <c r="G143">
        <v>1200</v>
      </c>
      <c r="H143" s="2">
        <f t="shared" si="2"/>
        <v>44985</v>
      </c>
    </row>
    <row r="144" spans="1:8">
      <c r="A144" s="1">
        <v>45124</v>
      </c>
      <c r="B144" t="s">
        <v>9</v>
      </c>
      <c r="C144">
        <v>45</v>
      </c>
      <c r="D144" t="s">
        <v>10</v>
      </c>
      <c r="E144">
        <v>1</v>
      </c>
      <c r="F144">
        <v>50</v>
      </c>
      <c r="G144">
        <v>50</v>
      </c>
      <c r="H144" s="2">
        <f t="shared" si="2"/>
        <v>45138</v>
      </c>
    </row>
    <row r="145" spans="1:8">
      <c r="A145" s="1">
        <v>45122</v>
      </c>
      <c r="B145" t="s">
        <v>9</v>
      </c>
      <c r="C145">
        <v>59</v>
      </c>
      <c r="D145" t="s">
        <v>8</v>
      </c>
      <c r="E145">
        <v>3</v>
      </c>
      <c r="F145">
        <v>500</v>
      </c>
      <c r="G145">
        <v>1500</v>
      </c>
      <c r="H145" s="2">
        <f t="shared" si="2"/>
        <v>45138</v>
      </c>
    </row>
    <row r="146" spans="1:8">
      <c r="A146" s="1">
        <v>45232</v>
      </c>
      <c r="B146" t="s">
        <v>9</v>
      </c>
      <c r="C146">
        <v>39</v>
      </c>
      <c r="D146" t="s">
        <v>10</v>
      </c>
      <c r="E146">
        <v>3</v>
      </c>
      <c r="F146">
        <v>25</v>
      </c>
      <c r="G146">
        <v>75</v>
      </c>
      <c r="H146" s="2">
        <f t="shared" si="2"/>
        <v>45260</v>
      </c>
    </row>
    <row r="147" spans="1:8">
      <c r="A147" s="1">
        <v>45166</v>
      </c>
      <c r="B147" t="s">
        <v>7</v>
      </c>
      <c r="C147">
        <v>38</v>
      </c>
      <c r="D147" t="s">
        <v>10</v>
      </c>
      <c r="E147">
        <v>4</v>
      </c>
      <c r="F147">
        <v>50</v>
      </c>
      <c r="G147">
        <v>200</v>
      </c>
      <c r="H147" s="2">
        <f t="shared" si="2"/>
        <v>45169</v>
      </c>
    </row>
    <row r="148" spans="1:8">
      <c r="A148" s="1">
        <v>45197</v>
      </c>
      <c r="B148" t="s">
        <v>7</v>
      </c>
      <c r="C148">
        <v>23</v>
      </c>
      <c r="D148" t="s">
        <v>11</v>
      </c>
      <c r="E148">
        <v>1</v>
      </c>
      <c r="F148">
        <v>300</v>
      </c>
      <c r="G148">
        <v>300</v>
      </c>
      <c r="H148" s="2">
        <f t="shared" si="2"/>
        <v>45199</v>
      </c>
    </row>
    <row r="149" spans="1:8">
      <c r="A149" s="1">
        <v>45055</v>
      </c>
      <c r="B149" t="s">
        <v>7</v>
      </c>
      <c r="C149">
        <v>18</v>
      </c>
      <c r="D149" t="s">
        <v>10</v>
      </c>
      <c r="E149">
        <v>2</v>
      </c>
      <c r="F149">
        <v>30</v>
      </c>
      <c r="G149">
        <v>60</v>
      </c>
      <c r="H149" s="2">
        <f t="shared" si="2"/>
        <v>45077</v>
      </c>
    </row>
    <row r="150" spans="1:8">
      <c r="A150" s="1">
        <v>45210</v>
      </c>
      <c r="B150" t="s">
        <v>7</v>
      </c>
      <c r="C150">
        <v>22</v>
      </c>
      <c r="D150" t="s">
        <v>10</v>
      </c>
      <c r="E150">
        <v>3</v>
      </c>
      <c r="F150">
        <v>25</v>
      </c>
      <c r="G150">
        <v>75</v>
      </c>
      <c r="H150" s="2">
        <f t="shared" si="2"/>
        <v>45230</v>
      </c>
    </row>
    <row r="151" spans="1:8">
      <c r="A151" s="1">
        <v>44932</v>
      </c>
      <c r="B151" t="s">
        <v>9</v>
      </c>
      <c r="C151">
        <v>58</v>
      </c>
      <c r="D151" t="s">
        <v>11</v>
      </c>
      <c r="E151">
        <v>4</v>
      </c>
      <c r="F151">
        <v>30</v>
      </c>
      <c r="G151">
        <v>120</v>
      </c>
      <c r="H151" s="2">
        <f t="shared" si="2"/>
        <v>44957</v>
      </c>
    </row>
    <row r="152" spans="1:8">
      <c r="A152" s="1">
        <v>45275</v>
      </c>
      <c r="B152" t="s">
        <v>7</v>
      </c>
      <c r="C152">
        <v>29</v>
      </c>
      <c r="D152" t="s">
        <v>10</v>
      </c>
      <c r="E152">
        <v>1</v>
      </c>
      <c r="F152">
        <v>50</v>
      </c>
      <c r="G152">
        <v>50</v>
      </c>
      <c r="H152" s="2">
        <f t="shared" si="2"/>
        <v>45291</v>
      </c>
    </row>
    <row r="153" spans="1:8">
      <c r="A153" s="1">
        <v>44985</v>
      </c>
      <c r="B153" t="s">
        <v>7</v>
      </c>
      <c r="C153">
        <v>43</v>
      </c>
      <c r="D153" t="s">
        <v>11</v>
      </c>
      <c r="E153">
        <v>4</v>
      </c>
      <c r="F153">
        <v>500</v>
      </c>
      <c r="G153">
        <v>2000</v>
      </c>
      <c r="H153" s="2">
        <f t="shared" si="2"/>
        <v>44985</v>
      </c>
    </row>
    <row r="154" spans="1:8">
      <c r="A154" s="1">
        <v>45276</v>
      </c>
      <c r="B154" t="s">
        <v>7</v>
      </c>
      <c r="C154">
        <v>63</v>
      </c>
      <c r="D154" t="s">
        <v>11</v>
      </c>
      <c r="E154">
        <v>2</v>
      </c>
      <c r="F154">
        <v>500</v>
      </c>
      <c r="G154">
        <v>1000</v>
      </c>
      <c r="H154" s="2">
        <f t="shared" si="2"/>
        <v>45291</v>
      </c>
    </row>
    <row r="155" spans="1:8">
      <c r="A155" s="1">
        <v>45201</v>
      </c>
      <c r="B155" t="s">
        <v>7</v>
      </c>
      <c r="C155">
        <v>51</v>
      </c>
      <c r="D155" t="s">
        <v>11</v>
      </c>
      <c r="E155">
        <v>3</v>
      </c>
      <c r="F155">
        <v>300</v>
      </c>
      <c r="G155">
        <v>900</v>
      </c>
      <c r="H155" s="2">
        <f t="shared" si="2"/>
        <v>45230</v>
      </c>
    </row>
    <row r="156" spans="1:8">
      <c r="A156" s="1">
        <v>45063</v>
      </c>
      <c r="B156" t="s">
        <v>7</v>
      </c>
      <c r="C156">
        <v>31</v>
      </c>
      <c r="D156" t="s">
        <v>11</v>
      </c>
      <c r="E156">
        <v>4</v>
      </c>
      <c r="F156">
        <v>500</v>
      </c>
      <c r="G156">
        <v>2000</v>
      </c>
      <c r="H156" s="2">
        <f t="shared" si="2"/>
        <v>45077</v>
      </c>
    </row>
    <row r="157" spans="1:8">
      <c r="A157" s="1">
        <v>45255</v>
      </c>
      <c r="B157" t="s">
        <v>9</v>
      </c>
      <c r="C157">
        <v>43</v>
      </c>
      <c r="D157" t="s">
        <v>10</v>
      </c>
      <c r="E157">
        <v>4</v>
      </c>
      <c r="F157">
        <v>25</v>
      </c>
      <c r="G157">
        <v>100</v>
      </c>
      <c r="H157" s="2">
        <f t="shared" si="2"/>
        <v>45260</v>
      </c>
    </row>
    <row r="158" spans="1:8">
      <c r="A158" s="1">
        <v>45101</v>
      </c>
      <c r="B158" t="s">
        <v>7</v>
      </c>
      <c r="C158">
        <v>62</v>
      </c>
      <c r="D158" t="s">
        <v>11</v>
      </c>
      <c r="E158">
        <v>4</v>
      </c>
      <c r="F158">
        <v>500</v>
      </c>
      <c r="G158">
        <v>2000</v>
      </c>
      <c r="H158" s="2">
        <f t="shared" si="2"/>
        <v>45107</v>
      </c>
    </row>
    <row r="159" spans="1:8">
      <c r="A159" s="1">
        <v>44984</v>
      </c>
      <c r="B159" t="s">
        <v>9</v>
      </c>
      <c r="C159">
        <v>44</v>
      </c>
      <c r="D159" t="s">
        <v>11</v>
      </c>
      <c r="E159">
        <v>2</v>
      </c>
      <c r="F159">
        <v>300</v>
      </c>
      <c r="G159">
        <v>600</v>
      </c>
      <c r="H159" s="2">
        <f t="shared" si="2"/>
        <v>44985</v>
      </c>
    </row>
    <row r="160" spans="1:8">
      <c r="A160" s="1">
        <v>45077</v>
      </c>
      <c r="B160" t="s">
        <v>7</v>
      </c>
      <c r="C160">
        <v>26</v>
      </c>
      <c r="D160" t="s">
        <v>10</v>
      </c>
      <c r="E160">
        <v>4</v>
      </c>
      <c r="F160">
        <v>50</v>
      </c>
      <c r="G160">
        <v>200</v>
      </c>
      <c r="H160" s="2">
        <f t="shared" si="2"/>
        <v>45077</v>
      </c>
    </row>
    <row r="161" spans="1:8">
      <c r="A161" s="1">
        <v>45149</v>
      </c>
      <c r="B161" t="s">
        <v>9</v>
      </c>
      <c r="C161">
        <v>43</v>
      </c>
      <c r="D161" t="s">
        <v>10</v>
      </c>
      <c r="E161">
        <v>2</v>
      </c>
      <c r="F161">
        <v>50</v>
      </c>
      <c r="G161">
        <v>100</v>
      </c>
      <c r="H161" s="2">
        <f t="shared" si="2"/>
        <v>45169</v>
      </c>
    </row>
    <row r="162" spans="1:8">
      <c r="A162" s="1">
        <v>45007</v>
      </c>
      <c r="B162" t="s">
        <v>7</v>
      </c>
      <c r="C162">
        <v>64</v>
      </c>
      <c r="D162" t="s">
        <v>8</v>
      </c>
      <c r="E162">
        <v>2</v>
      </c>
      <c r="F162">
        <v>500</v>
      </c>
      <c r="G162">
        <v>1000</v>
      </c>
      <c r="H162" s="2">
        <f t="shared" si="2"/>
        <v>45016</v>
      </c>
    </row>
    <row r="163" spans="1:8">
      <c r="A163" s="1">
        <v>45159</v>
      </c>
      <c r="B163" t="s">
        <v>7</v>
      </c>
      <c r="C163">
        <v>39</v>
      </c>
      <c r="D163" t="s">
        <v>10</v>
      </c>
      <c r="E163">
        <v>2</v>
      </c>
      <c r="F163">
        <v>30</v>
      </c>
      <c r="G163">
        <v>60</v>
      </c>
      <c r="H163" s="2">
        <f t="shared" si="2"/>
        <v>45169</v>
      </c>
    </row>
    <row r="164" spans="1:8">
      <c r="A164" s="1">
        <v>44928</v>
      </c>
      <c r="B164" t="s">
        <v>9</v>
      </c>
      <c r="C164">
        <v>64</v>
      </c>
      <c r="D164" t="s">
        <v>10</v>
      </c>
      <c r="E164">
        <v>3</v>
      </c>
      <c r="F164">
        <v>50</v>
      </c>
      <c r="G164">
        <v>150</v>
      </c>
      <c r="H164" s="2">
        <f t="shared" si="2"/>
        <v>44957</v>
      </c>
    </row>
    <row r="165" spans="1:8">
      <c r="A165" s="1">
        <v>45061</v>
      </c>
      <c r="B165" t="s">
        <v>9</v>
      </c>
      <c r="C165">
        <v>47</v>
      </c>
      <c r="D165" t="s">
        <v>8</v>
      </c>
      <c r="E165">
        <v>3</v>
      </c>
      <c r="F165">
        <v>500</v>
      </c>
      <c r="G165">
        <v>1500</v>
      </c>
      <c r="H165" s="2">
        <f t="shared" si="2"/>
        <v>45077</v>
      </c>
    </row>
    <row r="166" spans="1:8">
      <c r="A166" s="1">
        <v>45183</v>
      </c>
      <c r="B166" t="s">
        <v>9</v>
      </c>
      <c r="C166">
        <v>60</v>
      </c>
      <c r="D166" t="s">
        <v>10</v>
      </c>
      <c r="E166">
        <v>4</v>
      </c>
      <c r="F166">
        <v>300</v>
      </c>
      <c r="G166">
        <v>1200</v>
      </c>
      <c r="H166" s="2">
        <f t="shared" si="2"/>
        <v>45199</v>
      </c>
    </row>
    <row r="167" spans="1:8">
      <c r="A167" s="1">
        <v>45018</v>
      </c>
      <c r="B167" t="s">
        <v>7</v>
      </c>
      <c r="C167">
        <v>34</v>
      </c>
      <c r="D167" t="s">
        <v>10</v>
      </c>
      <c r="E167">
        <v>4</v>
      </c>
      <c r="F167">
        <v>500</v>
      </c>
      <c r="G167">
        <v>2000</v>
      </c>
      <c r="H167" s="2">
        <f t="shared" si="2"/>
        <v>45046</v>
      </c>
    </row>
    <row r="168" spans="1:8">
      <c r="A168" s="1">
        <v>45186</v>
      </c>
      <c r="B168" t="s">
        <v>9</v>
      </c>
      <c r="C168">
        <v>43</v>
      </c>
      <c r="D168" t="s">
        <v>10</v>
      </c>
      <c r="E168">
        <v>3</v>
      </c>
      <c r="F168">
        <v>50</v>
      </c>
      <c r="G168">
        <v>150</v>
      </c>
      <c r="H168" s="2">
        <f t="shared" si="2"/>
        <v>45199</v>
      </c>
    </row>
    <row r="169" spans="1:8">
      <c r="A169" s="1">
        <v>44981</v>
      </c>
      <c r="B169" t="s">
        <v>7</v>
      </c>
      <c r="C169">
        <v>53</v>
      </c>
      <c r="D169" t="s">
        <v>10</v>
      </c>
      <c r="E169">
        <v>1</v>
      </c>
      <c r="F169">
        <v>300</v>
      </c>
      <c r="G169">
        <v>300</v>
      </c>
      <c r="H169" s="2">
        <f t="shared" si="2"/>
        <v>44985</v>
      </c>
    </row>
    <row r="170" spans="1:8">
      <c r="A170" s="1">
        <v>45247</v>
      </c>
      <c r="B170" t="s">
        <v>7</v>
      </c>
      <c r="C170">
        <v>18</v>
      </c>
      <c r="D170" t="s">
        <v>8</v>
      </c>
      <c r="E170">
        <v>3</v>
      </c>
      <c r="F170">
        <v>500</v>
      </c>
      <c r="G170">
        <v>1500</v>
      </c>
      <c r="H170" s="2">
        <f t="shared" si="2"/>
        <v>45260</v>
      </c>
    </row>
    <row r="171" spans="1:8">
      <c r="A171" s="1">
        <v>45079</v>
      </c>
      <c r="B171" t="s">
        <v>9</v>
      </c>
      <c r="C171">
        <v>25</v>
      </c>
      <c r="D171" t="s">
        <v>10</v>
      </c>
      <c r="E171">
        <v>2</v>
      </c>
      <c r="F171">
        <v>25</v>
      </c>
      <c r="G171">
        <v>50</v>
      </c>
      <c r="H171" s="2">
        <f t="shared" si="2"/>
        <v>45107</v>
      </c>
    </row>
    <row r="172" spans="1:8">
      <c r="A172" s="1">
        <v>45254</v>
      </c>
      <c r="B172" t="s">
        <v>9</v>
      </c>
      <c r="C172">
        <v>52</v>
      </c>
      <c r="D172" t="s">
        <v>10</v>
      </c>
      <c r="E172">
        <v>3</v>
      </c>
      <c r="F172">
        <v>300</v>
      </c>
      <c r="G172">
        <v>900</v>
      </c>
      <c r="H172" s="2">
        <f t="shared" si="2"/>
        <v>45260</v>
      </c>
    </row>
    <row r="173" spans="1:8">
      <c r="A173" s="1">
        <v>45186</v>
      </c>
      <c r="B173" t="s">
        <v>7</v>
      </c>
      <c r="C173">
        <v>32</v>
      </c>
      <c r="D173" t="s">
        <v>8</v>
      </c>
      <c r="E173">
        <v>2</v>
      </c>
      <c r="F173">
        <v>25</v>
      </c>
      <c r="G173">
        <v>50</v>
      </c>
      <c r="H173" s="2">
        <f t="shared" si="2"/>
        <v>45199</v>
      </c>
    </row>
    <row r="174" spans="1:8">
      <c r="A174" s="1">
        <v>45238</v>
      </c>
      <c r="B174" t="s">
        <v>7</v>
      </c>
      <c r="C174">
        <v>64</v>
      </c>
      <c r="D174" t="s">
        <v>11</v>
      </c>
      <c r="E174">
        <v>4</v>
      </c>
      <c r="F174">
        <v>30</v>
      </c>
      <c r="G174">
        <v>120</v>
      </c>
      <c r="H174" s="2">
        <f t="shared" si="2"/>
        <v>45260</v>
      </c>
    </row>
    <row r="175" spans="1:8">
      <c r="A175" s="1">
        <v>45028</v>
      </c>
      <c r="B175" t="s">
        <v>9</v>
      </c>
      <c r="C175">
        <v>39</v>
      </c>
      <c r="D175" t="s">
        <v>8</v>
      </c>
      <c r="E175">
        <v>1</v>
      </c>
      <c r="F175">
        <v>300</v>
      </c>
      <c r="G175">
        <v>300</v>
      </c>
      <c r="H175" s="2">
        <f t="shared" si="2"/>
        <v>45046</v>
      </c>
    </row>
    <row r="176" spans="1:8">
      <c r="A176" s="1">
        <v>45005</v>
      </c>
      <c r="B176" t="s">
        <v>9</v>
      </c>
      <c r="C176">
        <v>31</v>
      </c>
      <c r="D176" t="s">
        <v>11</v>
      </c>
      <c r="E176">
        <v>4</v>
      </c>
      <c r="F176">
        <v>25</v>
      </c>
      <c r="G176">
        <v>100</v>
      </c>
      <c r="H176" s="2">
        <f t="shared" si="2"/>
        <v>45016</v>
      </c>
    </row>
    <row r="177" spans="1:8">
      <c r="A177" s="1">
        <v>45118</v>
      </c>
      <c r="B177" t="s">
        <v>9</v>
      </c>
      <c r="C177">
        <v>43</v>
      </c>
      <c r="D177" t="s">
        <v>8</v>
      </c>
      <c r="E177">
        <v>2</v>
      </c>
      <c r="F177">
        <v>50</v>
      </c>
      <c r="G177">
        <v>100</v>
      </c>
      <c r="H177" s="2">
        <f t="shared" si="2"/>
        <v>45138</v>
      </c>
    </row>
    <row r="178" spans="1:8">
      <c r="A178" s="1">
        <v>45009</v>
      </c>
      <c r="B178" t="s">
        <v>7</v>
      </c>
      <c r="C178">
        <v>45</v>
      </c>
      <c r="D178" t="s">
        <v>8</v>
      </c>
      <c r="E178">
        <v>2</v>
      </c>
      <c r="F178">
        <v>50</v>
      </c>
      <c r="G178">
        <v>100</v>
      </c>
      <c r="H178" s="2">
        <f t="shared" si="2"/>
        <v>45016</v>
      </c>
    </row>
    <row r="179" spans="1:8">
      <c r="A179" s="1">
        <v>45203</v>
      </c>
      <c r="B179" t="s">
        <v>7</v>
      </c>
      <c r="C179">
        <v>40</v>
      </c>
      <c r="D179" t="s">
        <v>10</v>
      </c>
      <c r="E179">
        <v>2</v>
      </c>
      <c r="F179">
        <v>30</v>
      </c>
      <c r="G179">
        <v>60</v>
      </c>
      <c r="H179" s="2">
        <f t="shared" si="2"/>
        <v>45230</v>
      </c>
    </row>
    <row r="180" spans="1:8">
      <c r="A180" s="1">
        <v>45198</v>
      </c>
      <c r="B180" t="s">
        <v>7</v>
      </c>
      <c r="C180">
        <v>31</v>
      </c>
      <c r="D180" t="s">
        <v>11</v>
      </c>
      <c r="E180">
        <v>1</v>
      </c>
      <c r="F180">
        <v>300</v>
      </c>
      <c r="G180">
        <v>300</v>
      </c>
      <c r="H180" s="2">
        <f t="shared" si="2"/>
        <v>45199</v>
      </c>
    </row>
    <row r="181" spans="1:8">
      <c r="A181" s="1">
        <v>44927</v>
      </c>
      <c r="B181" t="s">
        <v>7</v>
      </c>
      <c r="C181">
        <v>41</v>
      </c>
      <c r="D181" t="s">
        <v>10</v>
      </c>
      <c r="E181">
        <v>3</v>
      </c>
      <c r="F181">
        <v>300</v>
      </c>
      <c r="G181">
        <v>900</v>
      </c>
      <c r="H181" s="2">
        <f t="shared" si="2"/>
        <v>44957</v>
      </c>
    </row>
    <row r="182" spans="1:8">
      <c r="A182" s="1">
        <v>45233</v>
      </c>
      <c r="B182" t="s">
        <v>7</v>
      </c>
      <c r="C182">
        <v>19</v>
      </c>
      <c r="D182" t="s">
        <v>11</v>
      </c>
      <c r="E182">
        <v>4</v>
      </c>
      <c r="F182">
        <v>300</v>
      </c>
      <c r="G182">
        <v>1200</v>
      </c>
      <c r="H182" s="2">
        <f t="shared" si="2"/>
        <v>45260</v>
      </c>
    </row>
    <row r="183" spans="1:8">
      <c r="A183" s="1">
        <v>45092</v>
      </c>
      <c r="B183" t="s">
        <v>7</v>
      </c>
      <c r="C183">
        <v>62</v>
      </c>
      <c r="D183" t="s">
        <v>8</v>
      </c>
      <c r="E183">
        <v>4</v>
      </c>
      <c r="F183">
        <v>30</v>
      </c>
      <c r="G183">
        <v>120</v>
      </c>
      <c r="H183" s="2">
        <f t="shared" si="2"/>
        <v>45107</v>
      </c>
    </row>
    <row r="184" spans="1:8">
      <c r="A184" s="1">
        <v>45177</v>
      </c>
      <c r="B184" t="s">
        <v>9</v>
      </c>
      <c r="C184">
        <v>43</v>
      </c>
      <c r="D184" t="s">
        <v>8</v>
      </c>
      <c r="E184">
        <v>3</v>
      </c>
      <c r="F184">
        <v>300</v>
      </c>
      <c r="G184">
        <v>900</v>
      </c>
      <c r="H184" s="2">
        <f t="shared" si="2"/>
        <v>45199</v>
      </c>
    </row>
    <row r="185" spans="1:8">
      <c r="A185" s="1">
        <v>44936</v>
      </c>
      <c r="B185" t="s">
        <v>7</v>
      </c>
      <c r="C185">
        <v>31</v>
      </c>
      <c r="D185" t="s">
        <v>11</v>
      </c>
      <c r="E185">
        <v>4</v>
      </c>
      <c r="F185">
        <v>50</v>
      </c>
      <c r="G185">
        <v>200</v>
      </c>
      <c r="H185" s="2">
        <f t="shared" si="2"/>
        <v>44957</v>
      </c>
    </row>
    <row r="186" spans="1:8">
      <c r="A186" s="1">
        <v>44984</v>
      </c>
      <c r="B186" t="s">
        <v>7</v>
      </c>
      <c r="C186">
        <v>24</v>
      </c>
      <c r="D186" t="s">
        <v>10</v>
      </c>
      <c r="E186">
        <v>1</v>
      </c>
      <c r="F186">
        <v>25</v>
      </c>
      <c r="G186">
        <v>25</v>
      </c>
      <c r="H186" s="2">
        <f t="shared" si="2"/>
        <v>44985</v>
      </c>
    </row>
    <row r="187" spans="1:8">
      <c r="A187" s="1">
        <v>45112</v>
      </c>
      <c r="B187" t="s">
        <v>7</v>
      </c>
      <c r="C187">
        <v>20</v>
      </c>
      <c r="D187" t="s">
        <v>10</v>
      </c>
      <c r="E187">
        <v>4</v>
      </c>
      <c r="F187">
        <v>50</v>
      </c>
      <c r="G187">
        <v>200</v>
      </c>
      <c r="H187" s="2">
        <f t="shared" si="2"/>
        <v>45138</v>
      </c>
    </row>
    <row r="188" spans="1:8">
      <c r="A188" s="1">
        <v>45084</v>
      </c>
      <c r="B188" t="s">
        <v>9</v>
      </c>
      <c r="C188">
        <v>64</v>
      </c>
      <c r="D188" t="s">
        <v>10</v>
      </c>
      <c r="E188">
        <v>2</v>
      </c>
      <c r="F188">
        <v>50</v>
      </c>
      <c r="G188">
        <v>100</v>
      </c>
      <c r="H188" s="2">
        <f t="shared" si="2"/>
        <v>45107</v>
      </c>
    </row>
    <row r="189" spans="1:8">
      <c r="A189" s="1">
        <v>45049</v>
      </c>
      <c r="B189" t="s">
        <v>7</v>
      </c>
      <c r="C189">
        <v>40</v>
      </c>
      <c r="D189" t="s">
        <v>10</v>
      </c>
      <c r="E189">
        <v>3</v>
      </c>
      <c r="F189">
        <v>25</v>
      </c>
      <c r="G189">
        <v>75</v>
      </c>
      <c r="H189" s="2">
        <f t="shared" si="2"/>
        <v>45077</v>
      </c>
    </row>
    <row r="190" spans="1:8">
      <c r="A190" s="1">
        <v>44956</v>
      </c>
      <c r="B190" t="s">
        <v>7</v>
      </c>
      <c r="C190">
        <v>63</v>
      </c>
      <c r="D190" t="s">
        <v>8</v>
      </c>
      <c r="E190">
        <v>1</v>
      </c>
      <c r="F190">
        <v>50</v>
      </c>
      <c r="G190">
        <v>50</v>
      </c>
      <c r="H190" s="2">
        <f t="shared" si="2"/>
        <v>44957</v>
      </c>
    </row>
    <row r="191" spans="1:8">
      <c r="A191" s="1">
        <v>45050</v>
      </c>
      <c r="B191" t="s">
        <v>9</v>
      </c>
      <c r="C191">
        <v>60</v>
      </c>
      <c r="D191" t="s">
        <v>8</v>
      </c>
      <c r="E191">
        <v>3</v>
      </c>
      <c r="F191">
        <v>30</v>
      </c>
      <c r="G191">
        <v>90</v>
      </c>
      <c r="H191" s="2">
        <f t="shared" si="2"/>
        <v>45077</v>
      </c>
    </row>
    <row r="192" spans="1:8">
      <c r="A192" s="1">
        <v>45217</v>
      </c>
      <c r="B192" t="s">
        <v>7</v>
      </c>
      <c r="C192">
        <v>64</v>
      </c>
      <c r="D192" t="s">
        <v>8</v>
      </c>
      <c r="E192">
        <v>1</v>
      </c>
      <c r="F192">
        <v>25</v>
      </c>
      <c r="G192">
        <v>25</v>
      </c>
      <c r="H192" s="2">
        <f t="shared" si="2"/>
        <v>45230</v>
      </c>
    </row>
    <row r="193" spans="1:8">
      <c r="A193" s="1">
        <v>44967</v>
      </c>
      <c r="B193" t="s">
        <v>7</v>
      </c>
      <c r="C193">
        <v>62</v>
      </c>
      <c r="D193" t="s">
        <v>8</v>
      </c>
      <c r="E193">
        <v>2</v>
      </c>
      <c r="F193">
        <v>50</v>
      </c>
      <c r="G193">
        <v>100</v>
      </c>
      <c r="H193" s="2">
        <f t="shared" si="2"/>
        <v>44985</v>
      </c>
    </row>
    <row r="194" spans="1:8">
      <c r="A194" s="1">
        <v>44970</v>
      </c>
      <c r="B194" t="s">
        <v>7</v>
      </c>
      <c r="C194">
        <v>35</v>
      </c>
      <c r="D194" t="s">
        <v>8</v>
      </c>
      <c r="E194">
        <v>3</v>
      </c>
      <c r="F194">
        <v>500</v>
      </c>
      <c r="G194">
        <v>1500</v>
      </c>
      <c r="H194" s="2">
        <f t="shared" si="2"/>
        <v>44985</v>
      </c>
    </row>
    <row r="195" spans="1:8">
      <c r="A195" s="1">
        <v>45175</v>
      </c>
      <c r="B195" t="s">
        <v>7</v>
      </c>
      <c r="C195">
        <v>55</v>
      </c>
      <c r="D195" t="s">
        <v>10</v>
      </c>
      <c r="E195">
        <v>4</v>
      </c>
      <c r="F195">
        <v>50</v>
      </c>
      <c r="G195">
        <v>200</v>
      </c>
      <c r="H195" s="2">
        <f t="shared" ref="H195:H258" si="3">EOMONTH(A195,0)</f>
        <v>45199</v>
      </c>
    </row>
    <row r="196" spans="1:8">
      <c r="A196" s="1">
        <v>44962</v>
      </c>
      <c r="B196" t="s">
        <v>7</v>
      </c>
      <c r="C196">
        <v>52</v>
      </c>
      <c r="D196" t="s">
        <v>10</v>
      </c>
      <c r="E196">
        <v>1</v>
      </c>
      <c r="F196">
        <v>30</v>
      </c>
      <c r="G196">
        <v>30</v>
      </c>
      <c r="H196" s="2">
        <f t="shared" si="3"/>
        <v>44985</v>
      </c>
    </row>
    <row r="197" spans="1:8">
      <c r="A197" s="1">
        <v>45199</v>
      </c>
      <c r="B197" t="s">
        <v>9</v>
      </c>
      <c r="C197">
        <v>32</v>
      </c>
      <c r="D197" t="s">
        <v>10</v>
      </c>
      <c r="E197">
        <v>3</v>
      </c>
      <c r="F197">
        <v>300</v>
      </c>
      <c r="G197">
        <v>900</v>
      </c>
      <c r="H197" s="2">
        <f t="shared" si="3"/>
        <v>45199</v>
      </c>
    </row>
    <row r="198" spans="1:8">
      <c r="A198" s="1">
        <v>44991</v>
      </c>
      <c r="B198" t="s">
        <v>9</v>
      </c>
      <c r="C198">
        <v>42</v>
      </c>
      <c r="D198" t="s">
        <v>10</v>
      </c>
      <c r="E198">
        <v>4</v>
      </c>
      <c r="F198">
        <v>50</v>
      </c>
      <c r="G198">
        <v>200</v>
      </c>
      <c r="H198" s="2">
        <f t="shared" si="3"/>
        <v>45016</v>
      </c>
    </row>
    <row r="199" spans="1:8">
      <c r="A199" s="1">
        <v>44992</v>
      </c>
      <c r="B199" t="s">
        <v>9</v>
      </c>
      <c r="C199">
        <v>54</v>
      </c>
      <c r="D199" t="s">
        <v>8</v>
      </c>
      <c r="E199">
        <v>3</v>
      </c>
      <c r="F199">
        <v>300</v>
      </c>
      <c r="G199">
        <v>900</v>
      </c>
      <c r="H199" s="2">
        <f t="shared" si="3"/>
        <v>45016</v>
      </c>
    </row>
    <row r="200" spans="1:8">
      <c r="A200" s="1">
        <v>45264</v>
      </c>
      <c r="B200" t="s">
        <v>7</v>
      </c>
      <c r="C200">
        <v>45</v>
      </c>
      <c r="D200" t="s">
        <v>8</v>
      </c>
      <c r="E200">
        <v>3</v>
      </c>
      <c r="F200">
        <v>500</v>
      </c>
      <c r="G200">
        <v>1500</v>
      </c>
      <c r="H200" s="2">
        <f t="shared" si="3"/>
        <v>45291</v>
      </c>
    </row>
    <row r="201" spans="1:8">
      <c r="A201" s="1">
        <v>45170</v>
      </c>
      <c r="B201" t="s">
        <v>7</v>
      </c>
      <c r="C201">
        <v>27</v>
      </c>
      <c r="D201" t="s">
        <v>8</v>
      </c>
      <c r="E201">
        <v>3</v>
      </c>
      <c r="F201">
        <v>50</v>
      </c>
      <c r="G201">
        <v>150</v>
      </c>
      <c r="H201" s="2">
        <f t="shared" si="3"/>
        <v>45199</v>
      </c>
    </row>
    <row r="202" spans="1:8">
      <c r="A202" s="1">
        <v>45208</v>
      </c>
      <c r="B202" t="s">
        <v>7</v>
      </c>
      <c r="C202">
        <v>56</v>
      </c>
      <c r="D202" t="s">
        <v>11</v>
      </c>
      <c r="E202">
        <v>1</v>
      </c>
      <c r="F202">
        <v>25</v>
      </c>
      <c r="G202">
        <v>25</v>
      </c>
      <c r="H202" s="2">
        <f t="shared" si="3"/>
        <v>45230</v>
      </c>
    </row>
    <row r="203" spans="1:8">
      <c r="A203" s="1">
        <v>45011</v>
      </c>
      <c r="B203" t="s">
        <v>9</v>
      </c>
      <c r="C203">
        <v>34</v>
      </c>
      <c r="D203" t="s">
        <v>10</v>
      </c>
      <c r="E203">
        <v>4</v>
      </c>
      <c r="F203">
        <v>300</v>
      </c>
      <c r="G203">
        <v>1200</v>
      </c>
      <c r="H203" s="2">
        <f t="shared" si="3"/>
        <v>45016</v>
      </c>
    </row>
    <row r="204" spans="1:8">
      <c r="A204" s="1">
        <v>45062</v>
      </c>
      <c r="B204" t="s">
        <v>7</v>
      </c>
      <c r="C204">
        <v>56</v>
      </c>
      <c r="D204" t="s">
        <v>10</v>
      </c>
      <c r="E204">
        <v>2</v>
      </c>
      <c r="F204">
        <v>500</v>
      </c>
      <c r="G204">
        <v>1000</v>
      </c>
      <c r="H204" s="2">
        <f t="shared" si="3"/>
        <v>45077</v>
      </c>
    </row>
    <row r="205" spans="1:8">
      <c r="A205" s="1">
        <v>45197</v>
      </c>
      <c r="B205" t="s">
        <v>7</v>
      </c>
      <c r="C205">
        <v>39</v>
      </c>
      <c r="D205" t="s">
        <v>8</v>
      </c>
      <c r="E205">
        <v>1</v>
      </c>
      <c r="F205">
        <v>25</v>
      </c>
      <c r="G205">
        <v>25</v>
      </c>
      <c r="H205" s="2">
        <f t="shared" si="3"/>
        <v>45199</v>
      </c>
    </row>
    <row r="206" spans="1:8">
      <c r="A206" s="1">
        <v>45237</v>
      </c>
      <c r="B206" t="s">
        <v>9</v>
      </c>
      <c r="C206">
        <v>43</v>
      </c>
      <c r="D206" t="s">
        <v>10</v>
      </c>
      <c r="E206">
        <v>1</v>
      </c>
      <c r="F206">
        <v>25</v>
      </c>
      <c r="G206">
        <v>25</v>
      </c>
      <c r="H206" s="2">
        <f t="shared" si="3"/>
        <v>45260</v>
      </c>
    </row>
    <row r="207" spans="1:8">
      <c r="A207" s="1">
        <v>45143</v>
      </c>
      <c r="B207" t="s">
        <v>7</v>
      </c>
      <c r="C207">
        <v>61</v>
      </c>
      <c r="D207" t="s">
        <v>10</v>
      </c>
      <c r="E207">
        <v>1</v>
      </c>
      <c r="F207">
        <v>25</v>
      </c>
      <c r="G207">
        <v>25</v>
      </c>
      <c r="H207" s="2">
        <f t="shared" si="3"/>
        <v>45169</v>
      </c>
    </row>
    <row r="208" spans="1:8">
      <c r="A208" s="1">
        <v>45035</v>
      </c>
      <c r="B208" t="s">
        <v>9</v>
      </c>
      <c r="C208">
        <v>42</v>
      </c>
      <c r="D208" t="s">
        <v>8</v>
      </c>
      <c r="E208">
        <v>2</v>
      </c>
      <c r="F208">
        <v>25</v>
      </c>
      <c r="G208">
        <v>50</v>
      </c>
      <c r="H208" s="2">
        <f t="shared" si="3"/>
        <v>45046</v>
      </c>
    </row>
    <row r="209" spans="1:8">
      <c r="A209" s="1">
        <v>45203</v>
      </c>
      <c r="B209" t="s">
        <v>9</v>
      </c>
      <c r="C209">
        <v>34</v>
      </c>
      <c r="D209" t="s">
        <v>11</v>
      </c>
      <c r="E209">
        <v>4</v>
      </c>
      <c r="F209">
        <v>50</v>
      </c>
      <c r="G209">
        <v>200</v>
      </c>
      <c r="H209" s="2">
        <f t="shared" si="3"/>
        <v>45230</v>
      </c>
    </row>
    <row r="210" spans="1:8">
      <c r="A210" s="1">
        <v>45280</v>
      </c>
      <c r="B210" t="s">
        <v>9</v>
      </c>
      <c r="C210">
        <v>30</v>
      </c>
      <c r="D210" t="s">
        <v>11</v>
      </c>
      <c r="E210">
        <v>4</v>
      </c>
      <c r="F210">
        <v>50</v>
      </c>
      <c r="G210">
        <v>200</v>
      </c>
      <c r="H210" s="2">
        <f t="shared" si="3"/>
        <v>45291</v>
      </c>
    </row>
    <row r="211" spans="1:8">
      <c r="A211" s="1">
        <v>45029</v>
      </c>
      <c r="B211" t="s">
        <v>7</v>
      </c>
      <c r="C211">
        <v>37</v>
      </c>
      <c r="D211" t="s">
        <v>11</v>
      </c>
      <c r="E211">
        <v>4</v>
      </c>
      <c r="F211">
        <v>50</v>
      </c>
      <c r="G211">
        <v>200</v>
      </c>
      <c r="H211" s="2">
        <f t="shared" si="3"/>
        <v>45046</v>
      </c>
    </row>
    <row r="212" spans="1:8">
      <c r="A212" s="1">
        <v>45292</v>
      </c>
      <c r="B212" t="s">
        <v>7</v>
      </c>
      <c r="C212">
        <v>42</v>
      </c>
      <c r="D212" t="s">
        <v>8</v>
      </c>
      <c r="E212">
        <v>3</v>
      </c>
      <c r="F212">
        <v>500</v>
      </c>
      <c r="G212">
        <v>1500</v>
      </c>
      <c r="H212" s="2">
        <f t="shared" si="3"/>
        <v>45322</v>
      </c>
    </row>
    <row r="213" spans="1:8">
      <c r="A213" s="1">
        <v>45086</v>
      </c>
      <c r="B213" t="s">
        <v>7</v>
      </c>
      <c r="C213">
        <v>21</v>
      </c>
      <c r="D213" t="s">
        <v>10</v>
      </c>
      <c r="E213">
        <v>3</v>
      </c>
      <c r="F213">
        <v>500</v>
      </c>
      <c r="G213">
        <v>1500</v>
      </c>
      <c r="H213" s="2">
        <f t="shared" si="3"/>
        <v>45107</v>
      </c>
    </row>
    <row r="214" spans="1:8">
      <c r="A214" s="1">
        <v>45131</v>
      </c>
      <c r="B214" t="s">
        <v>7</v>
      </c>
      <c r="C214">
        <v>27</v>
      </c>
      <c r="D214" t="s">
        <v>8</v>
      </c>
      <c r="E214">
        <v>3</v>
      </c>
      <c r="F214">
        <v>500</v>
      </c>
      <c r="G214">
        <v>1500</v>
      </c>
      <c r="H214" s="2">
        <f t="shared" si="3"/>
        <v>45138</v>
      </c>
    </row>
    <row r="215" spans="1:8">
      <c r="A215" s="1">
        <v>45270</v>
      </c>
      <c r="B215" t="s">
        <v>7</v>
      </c>
      <c r="C215">
        <v>20</v>
      </c>
      <c r="D215" t="s">
        <v>8</v>
      </c>
      <c r="E215">
        <v>2</v>
      </c>
      <c r="F215">
        <v>30</v>
      </c>
      <c r="G215">
        <v>60</v>
      </c>
      <c r="H215" s="2">
        <f t="shared" si="3"/>
        <v>45291</v>
      </c>
    </row>
    <row r="216" spans="1:8">
      <c r="A216" s="1">
        <v>45259</v>
      </c>
      <c r="B216" t="s">
        <v>7</v>
      </c>
      <c r="C216">
        <v>58</v>
      </c>
      <c r="D216" t="s">
        <v>10</v>
      </c>
      <c r="E216">
        <v>3</v>
      </c>
      <c r="F216">
        <v>500</v>
      </c>
      <c r="G216">
        <v>1500</v>
      </c>
      <c r="H216" s="2">
        <f t="shared" si="3"/>
        <v>45260</v>
      </c>
    </row>
    <row r="217" spans="1:8">
      <c r="A217" s="1">
        <v>45118</v>
      </c>
      <c r="B217" t="s">
        <v>7</v>
      </c>
      <c r="C217">
        <v>62</v>
      </c>
      <c r="D217" t="s">
        <v>11</v>
      </c>
      <c r="E217">
        <v>2</v>
      </c>
      <c r="F217">
        <v>50</v>
      </c>
      <c r="G217">
        <v>100</v>
      </c>
      <c r="H217" s="2">
        <f t="shared" si="3"/>
        <v>45138</v>
      </c>
    </row>
    <row r="218" spans="1:8">
      <c r="A218" s="1">
        <v>45151</v>
      </c>
      <c r="B218" t="s">
        <v>9</v>
      </c>
      <c r="C218">
        <v>35</v>
      </c>
      <c r="D218" t="s">
        <v>11</v>
      </c>
      <c r="E218">
        <v>4</v>
      </c>
      <c r="F218">
        <v>50</v>
      </c>
      <c r="G218">
        <v>200</v>
      </c>
      <c r="H218" s="2">
        <f t="shared" si="3"/>
        <v>45169</v>
      </c>
    </row>
    <row r="219" spans="1:8">
      <c r="A219" s="1">
        <v>45191</v>
      </c>
      <c r="B219" t="s">
        <v>7</v>
      </c>
      <c r="C219">
        <v>64</v>
      </c>
      <c r="D219" t="s">
        <v>8</v>
      </c>
      <c r="E219">
        <v>3</v>
      </c>
      <c r="F219">
        <v>30</v>
      </c>
      <c r="G219">
        <v>90</v>
      </c>
      <c r="H219" s="2">
        <f t="shared" si="3"/>
        <v>45199</v>
      </c>
    </row>
    <row r="220" spans="1:8">
      <c r="A220" s="1">
        <v>45158</v>
      </c>
      <c r="B220" t="s">
        <v>9</v>
      </c>
      <c r="C220">
        <v>53</v>
      </c>
      <c r="D220" t="s">
        <v>11</v>
      </c>
      <c r="E220">
        <v>3</v>
      </c>
      <c r="F220">
        <v>30</v>
      </c>
      <c r="G220">
        <v>90</v>
      </c>
      <c r="H220" s="2">
        <f t="shared" si="3"/>
        <v>45169</v>
      </c>
    </row>
    <row r="221" spans="1:8">
      <c r="A221" s="1">
        <v>44988</v>
      </c>
      <c r="B221" t="s">
        <v>7</v>
      </c>
      <c r="C221">
        <v>64</v>
      </c>
      <c r="D221" t="s">
        <v>8</v>
      </c>
      <c r="E221">
        <v>1</v>
      </c>
      <c r="F221">
        <v>500</v>
      </c>
      <c r="G221">
        <v>500</v>
      </c>
      <c r="H221" s="2">
        <f t="shared" si="3"/>
        <v>45016</v>
      </c>
    </row>
    <row r="222" spans="1:8">
      <c r="A222" s="1">
        <v>45053</v>
      </c>
      <c r="B222" t="s">
        <v>7</v>
      </c>
      <c r="C222">
        <v>39</v>
      </c>
      <c r="D222" t="s">
        <v>8</v>
      </c>
      <c r="E222">
        <v>2</v>
      </c>
      <c r="F222">
        <v>300</v>
      </c>
      <c r="G222">
        <v>600</v>
      </c>
      <c r="H222" s="2">
        <f t="shared" si="3"/>
        <v>45077</v>
      </c>
    </row>
    <row r="223" spans="1:8">
      <c r="A223" s="1">
        <v>45042</v>
      </c>
      <c r="B223" t="s">
        <v>7</v>
      </c>
      <c r="C223">
        <v>51</v>
      </c>
      <c r="D223" t="s">
        <v>10</v>
      </c>
      <c r="E223">
        <v>4</v>
      </c>
      <c r="F223">
        <v>30</v>
      </c>
      <c r="G223">
        <v>120</v>
      </c>
      <c r="H223" s="2">
        <f t="shared" si="3"/>
        <v>45046</v>
      </c>
    </row>
    <row r="224" spans="1:8">
      <c r="A224" s="1">
        <v>44959</v>
      </c>
      <c r="B224" t="s">
        <v>9</v>
      </c>
      <c r="C224">
        <v>64</v>
      </c>
      <c r="D224" t="s">
        <v>10</v>
      </c>
      <c r="E224">
        <v>1</v>
      </c>
      <c r="F224">
        <v>25</v>
      </c>
      <c r="G224">
        <v>25</v>
      </c>
      <c r="H224" s="2">
        <f t="shared" si="3"/>
        <v>44985</v>
      </c>
    </row>
    <row r="225" spans="1:8">
      <c r="A225" s="1">
        <v>45100</v>
      </c>
      <c r="B225" t="s">
        <v>9</v>
      </c>
      <c r="C225">
        <v>25</v>
      </c>
      <c r="D225" t="s">
        <v>10</v>
      </c>
      <c r="E225">
        <v>1</v>
      </c>
      <c r="F225">
        <v>50</v>
      </c>
      <c r="G225">
        <v>50</v>
      </c>
      <c r="H225" s="2">
        <f t="shared" si="3"/>
        <v>45107</v>
      </c>
    </row>
    <row r="226" spans="1:8">
      <c r="A226" s="1">
        <v>44937</v>
      </c>
      <c r="B226" t="s">
        <v>9</v>
      </c>
      <c r="C226">
        <v>57</v>
      </c>
      <c r="D226" t="s">
        <v>8</v>
      </c>
      <c r="E226">
        <v>4</v>
      </c>
      <c r="F226">
        <v>25</v>
      </c>
      <c r="G226">
        <v>100</v>
      </c>
      <c r="H226" s="2">
        <f t="shared" si="3"/>
        <v>44957</v>
      </c>
    </row>
    <row r="227" spans="1:8">
      <c r="A227" s="1">
        <v>45228</v>
      </c>
      <c r="B227" t="s">
        <v>9</v>
      </c>
      <c r="C227">
        <v>61</v>
      </c>
      <c r="D227" t="s">
        <v>10</v>
      </c>
      <c r="E227">
        <v>1</v>
      </c>
      <c r="F227">
        <v>50</v>
      </c>
      <c r="G227">
        <v>50</v>
      </c>
      <c r="H227" s="2">
        <f t="shared" si="3"/>
        <v>45230</v>
      </c>
    </row>
    <row r="228" spans="1:8">
      <c r="A228" s="1">
        <v>45210</v>
      </c>
      <c r="B228" t="s">
        <v>7</v>
      </c>
      <c r="C228">
        <v>36</v>
      </c>
      <c r="D228" t="s">
        <v>11</v>
      </c>
      <c r="E228">
        <v>2</v>
      </c>
      <c r="F228">
        <v>50</v>
      </c>
      <c r="G228">
        <v>100</v>
      </c>
      <c r="H228" s="2">
        <f t="shared" si="3"/>
        <v>45230</v>
      </c>
    </row>
    <row r="229" spans="1:8">
      <c r="A229" s="1">
        <v>45044</v>
      </c>
      <c r="B229" t="s">
        <v>9</v>
      </c>
      <c r="C229">
        <v>59</v>
      </c>
      <c r="D229" t="s">
        <v>11</v>
      </c>
      <c r="E229">
        <v>2</v>
      </c>
      <c r="F229">
        <v>30</v>
      </c>
      <c r="G229">
        <v>60</v>
      </c>
      <c r="H229" s="2">
        <f t="shared" si="3"/>
        <v>45046</v>
      </c>
    </row>
    <row r="230" spans="1:8">
      <c r="A230" s="1">
        <v>45228</v>
      </c>
      <c r="B230" t="s">
        <v>7</v>
      </c>
      <c r="C230">
        <v>58</v>
      </c>
      <c r="D230" t="s">
        <v>8</v>
      </c>
      <c r="E230">
        <v>3</v>
      </c>
      <c r="F230">
        <v>30</v>
      </c>
      <c r="G230">
        <v>90</v>
      </c>
      <c r="H230" s="2">
        <f t="shared" si="3"/>
        <v>45230</v>
      </c>
    </row>
    <row r="231" spans="1:8">
      <c r="A231" s="1">
        <v>45039</v>
      </c>
      <c r="B231" t="s">
        <v>7</v>
      </c>
      <c r="C231">
        <v>54</v>
      </c>
      <c r="D231" t="s">
        <v>8</v>
      </c>
      <c r="E231">
        <v>1</v>
      </c>
      <c r="F231">
        <v>25</v>
      </c>
      <c r="G231">
        <v>25</v>
      </c>
      <c r="H231" s="2">
        <f t="shared" si="3"/>
        <v>45046</v>
      </c>
    </row>
    <row r="232" spans="1:8">
      <c r="A232" s="1">
        <v>44930</v>
      </c>
      <c r="B232" t="s">
        <v>9</v>
      </c>
      <c r="C232">
        <v>23</v>
      </c>
      <c r="D232" t="s">
        <v>10</v>
      </c>
      <c r="E232">
        <v>3</v>
      </c>
      <c r="F232">
        <v>50</v>
      </c>
      <c r="G232">
        <v>150</v>
      </c>
      <c r="H232" s="2">
        <f t="shared" si="3"/>
        <v>44957</v>
      </c>
    </row>
    <row r="233" spans="1:8">
      <c r="A233" s="1">
        <v>44963</v>
      </c>
      <c r="B233" t="s">
        <v>9</v>
      </c>
      <c r="C233">
        <v>43</v>
      </c>
      <c r="D233" t="s">
        <v>8</v>
      </c>
      <c r="E233">
        <v>1</v>
      </c>
      <c r="F233">
        <v>25</v>
      </c>
      <c r="G233">
        <v>25</v>
      </c>
      <c r="H233" s="2">
        <f t="shared" si="3"/>
        <v>44985</v>
      </c>
    </row>
    <row r="234" spans="1:8">
      <c r="A234" s="1">
        <v>45289</v>
      </c>
      <c r="B234" t="s">
        <v>9</v>
      </c>
      <c r="C234">
        <v>51</v>
      </c>
      <c r="D234" t="s">
        <v>8</v>
      </c>
      <c r="E234">
        <v>2</v>
      </c>
      <c r="F234">
        <v>300</v>
      </c>
      <c r="G234">
        <v>600</v>
      </c>
      <c r="H234" s="2">
        <f t="shared" si="3"/>
        <v>45291</v>
      </c>
    </row>
    <row r="235" spans="1:8">
      <c r="A235" s="1">
        <v>45250</v>
      </c>
      <c r="B235" t="s">
        <v>9</v>
      </c>
      <c r="C235">
        <v>62</v>
      </c>
      <c r="D235" t="s">
        <v>11</v>
      </c>
      <c r="E235">
        <v>2</v>
      </c>
      <c r="F235">
        <v>25</v>
      </c>
      <c r="G235">
        <v>50</v>
      </c>
      <c r="H235" s="2">
        <f t="shared" si="3"/>
        <v>45260</v>
      </c>
    </row>
    <row r="236" spans="1:8">
      <c r="A236" s="1">
        <v>44957</v>
      </c>
      <c r="B236" t="s">
        <v>9</v>
      </c>
      <c r="C236">
        <v>23</v>
      </c>
      <c r="D236" t="s">
        <v>11</v>
      </c>
      <c r="E236">
        <v>2</v>
      </c>
      <c r="F236">
        <v>500</v>
      </c>
      <c r="G236">
        <v>1000</v>
      </c>
      <c r="H236" s="2">
        <f t="shared" si="3"/>
        <v>44957</v>
      </c>
    </row>
    <row r="237" spans="1:8">
      <c r="A237" s="1">
        <v>45044</v>
      </c>
      <c r="B237" t="s">
        <v>9</v>
      </c>
      <c r="C237">
        <v>54</v>
      </c>
      <c r="D237" t="s">
        <v>10</v>
      </c>
      <c r="E237">
        <v>1</v>
      </c>
      <c r="F237">
        <v>25</v>
      </c>
      <c r="G237">
        <v>25</v>
      </c>
      <c r="H237" s="2">
        <f t="shared" si="3"/>
        <v>45046</v>
      </c>
    </row>
    <row r="238" spans="1:8">
      <c r="A238" s="1">
        <v>44961</v>
      </c>
      <c r="B238" t="s">
        <v>9</v>
      </c>
      <c r="C238">
        <v>50</v>
      </c>
      <c r="D238" t="s">
        <v>8</v>
      </c>
      <c r="E238">
        <v>2</v>
      </c>
      <c r="F238">
        <v>500</v>
      </c>
      <c r="G238">
        <v>1000</v>
      </c>
      <c r="H238" s="2">
        <f t="shared" si="3"/>
        <v>44985</v>
      </c>
    </row>
    <row r="239" spans="1:8">
      <c r="A239" s="1">
        <v>44943</v>
      </c>
      <c r="B239" t="s">
        <v>9</v>
      </c>
      <c r="C239">
        <v>39</v>
      </c>
      <c r="D239" t="s">
        <v>8</v>
      </c>
      <c r="E239">
        <v>1</v>
      </c>
      <c r="F239">
        <v>500</v>
      </c>
      <c r="G239">
        <v>500</v>
      </c>
      <c r="H239" s="2">
        <f t="shared" si="3"/>
        <v>44957</v>
      </c>
    </row>
    <row r="240" spans="1:8">
      <c r="A240" s="1">
        <v>45096</v>
      </c>
      <c r="B240" t="s">
        <v>7</v>
      </c>
      <c r="C240">
        <v>38</v>
      </c>
      <c r="D240" t="s">
        <v>11</v>
      </c>
      <c r="E240">
        <v>3</v>
      </c>
      <c r="F240">
        <v>500</v>
      </c>
      <c r="G240">
        <v>1500</v>
      </c>
      <c r="H240" s="2">
        <f t="shared" si="3"/>
        <v>45107</v>
      </c>
    </row>
    <row r="241" spans="1:8">
      <c r="A241" s="1">
        <v>44963</v>
      </c>
      <c r="B241" t="s">
        <v>9</v>
      </c>
      <c r="C241">
        <v>23</v>
      </c>
      <c r="D241" t="s">
        <v>8</v>
      </c>
      <c r="E241">
        <v>1</v>
      </c>
      <c r="F241">
        <v>300</v>
      </c>
      <c r="G241">
        <v>300</v>
      </c>
      <c r="H241" s="2">
        <f t="shared" si="3"/>
        <v>44985</v>
      </c>
    </row>
    <row r="242" spans="1:8">
      <c r="A242" s="1">
        <v>45190</v>
      </c>
      <c r="B242" t="s">
        <v>9</v>
      </c>
      <c r="C242">
        <v>23</v>
      </c>
      <c r="D242" t="s">
        <v>11</v>
      </c>
      <c r="E242">
        <v>3</v>
      </c>
      <c r="F242">
        <v>25</v>
      </c>
      <c r="G242">
        <v>75</v>
      </c>
      <c r="H242" s="2">
        <f t="shared" si="3"/>
        <v>45199</v>
      </c>
    </row>
    <row r="243" spans="1:8">
      <c r="A243" s="1">
        <v>45048</v>
      </c>
      <c r="B243" t="s">
        <v>7</v>
      </c>
      <c r="C243">
        <v>21</v>
      </c>
      <c r="D243" t="s">
        <v>10</v>
      </c>
      <c r="E243">
        <v>1</v>
      </c>
      <c r="F243">
        <v>25</v>
      </c>
      <c r="G243">
        <v>25</v>
      </c>
      <c r="H243" s="2">
        <f t="shared" si="3"/>
        <v>45077</v>
      </c>
    </row>
    <row r="244" spans="1:8">
      <c r="A244" s="1">
        <v>45069</v>
      </c>
      <c r="B244" t="s">
        <v>9</v>
      </c>
      <c r="C244">
        <v>47</v>
      </c>
      <c r="D244" t="s">
        <v>11</v>
      </c>
      <c r="E244">
        <v>3</v>
      </c>
      <c r="F244">
        <v>300</v>
      </c>
      <c r="G244">
        <v>900</v>
      </c>
      <c r="H244" s="2">
        <f t="shared" si="3"/>
        <v>45077</v>
      </c>
    </row>
    <row r="245" spans="1:8">
      <c r="A245" s="1">
        <v>45269</v>
      </c>
      <c r="B245" t="s">
        <v>7</v>
      </c>
      <c r="C245">
        <v>28</v>
      </c>
      <c r="D245" t="s">
        <v>8</v>
      </c>
      <c r="E245">
        <v>2</v>
      </c>
      <c r="F245">
        <v>50</v>
      </c>
      <c r="G245">
        <v>100</v>
      </c>
      <c r="H245" s="2">
        <f t="shared" si="3"/>
        <v>45291</v>
      </c>
    </row>
    <row r="246" spans="1:8">
      <c r="A246" s="1">
        <v>45175</v>
      </c>
      <c r="B246" t="s">
        <v>7</v>
      </c>
      <c r="C246">
        <v>47</v>
      </c>
      <c r="D246" t="s">
        <v>10</v>
      </c>
      <c r="E246">
        <v>3</v>
      </c>
      <c r="F246">
        <v>30</v>
      </c>
      <c r="G246">
        <v>90</v>
      </c>
      <c r="H246" s="2">
        <f t="shared" si="3"/>
        <v>45199</v>
      </c>
    </row>
    <row r="247" spans="1:8">
      <c r="A247" s="1">
        <v>45036</v>
      </c>
      <c r="B247" t="s">
        <v>9</v>
      </c>
      <c r="C247">
        <v>48</v>
      </c>
      <c r="D247" t="s">
        <v>11</v>
      </c>
      <c r="E247">
        <v>2</v>
      </c>
      <c r="F247">
        <v>25</v>
      </c>
      <c r="G247">
        <v>50</v>
      </c>
      <c r="H247" s="2">
        <f t="shared" si="3"/>
        <v>45046</v>
      </c>
    </row>
    <row r="248" spans="1:8">
      <c r="A248" s="1">
        <v>45203</v>
      </c>
      <c r="B248" t="s">
        <v>7</v>
      </c>
      <c r="C248">
        <v>41</v>
      </c>
      <c r="D248" t="s">
        <v>11</v>
      </c>
      <c r="E248">
        <v>2</v>
      </c>
      <c r="F248">
        <v>30</v>
      </c>
      <c r="G248">
        <v>60</v>
      </c>
      <c r="H248" s="2">
        <f t="shared" si="3"/>
        <v>45230</v>
      </c>
    </row>
    <row r="249" spans="1:8">
      <c r="A249" s="1">
        <v>44994</v>
      </c>
      <c r="B249" t="s">
        <v>7</v>
      </c>
      <c r="C249">
        <v>26</v>
      </c>
      <c r="D249" t="s">
        <v>10</v>
      </c>
      <c r="E249">
        <v>3</v>
      </c>
      <c r="F249">
        <v>300</v>
      </c>
      <c r="G249">
        <v>900</v>
      </c>
      <c r="H249" s="2">
        <f t="shared" si="3"/>
        <v>45016</v>
      </c>
    </row>
    <row r="250" spans="1:8">
      <c r="A250" s="1">
        <v>45219</v>
      </c>
      <c r="B250" t="s">
        <v>7</v>
      </c>
      <c r="C250">
        <v>20</v>
      </c>
      <c r="D250" t="s">
        <v>10</v>
      </c>
      <c r="E250">
        <v>1</v>
      </c>
      <c r="F250">
        <v>50</v>
      </c>
      <c r="G250">
        <v>50</v>
      </c>
      <c r="H250" s="2">
        <f t="shared" si="3"/>
        <v>45230</v>
      </c>
    </row>
    <row r="251" spans="1:8">
      <c r="A251" s="1">
        <v>45222</v>
      </c>
      <c r="B251" t="s">
        <v>7</v>
      </c>
      <c r="C251">
        <v>48</v>
      </c>
      <c r="D251" t="s">
        <v>11</v>
      </c>
      <c r="E251">
        <v>1</v>
      </c>
      <c r="F251">
        <v>50</v>
      </c>
      <c r="G251">
        <v>50</v>
      </c>
      <c r="H251" s="2">
        <f t="shared" si="3"/>
        <v>45230</v>
      </c>
    </row>
    <row r="252" spans="1:8">
      <c r="A252" s="1">
        <v>45169</v>
      </c>
      <c r="B252" t="s">
        <v>9</v>
      </c>
      <c r="C252">
        <v>57</v>
      </c>
      <c r="D252" t="s">
        <v>8</v>
      </c>
      <c r="E252">
        <v>4</v>
      </c>
      <c r="F252">
        <v>50</v>
      </c>
      <c r="G252">
        <v>200</v>
      </c>
      <c r="H252" s="2">
        <f t="shared" si="3"/>
        <v>45169</v>
      </c>
    </row>
    <row r="253" spans="1:8">
      <c r="A253" s="1">
        <v>45051</v>
      </c>
      <c r="B253" t="s">
        <v>7</v>
      </c>
      <c r="C253">
        <v>54</v>
      </c>
      <c r="D253" t="s">
        <v>11</v>
      </c>
      <c r="E253">
        <v>1</v>
      </c>
      <c r="F253">
        <v>300</v>
      </c>
      <c r="G253">
        <v>300</v>
      </c>
      <c r="H253" s="2">
        <f t="shared" si="3"/>
        <v>45077</v>
      </c>
    </row>
    <row r="254" spans="1:8">
      <c r="A254" s="1">
        <v>45169</v>
      </c>
      <c r="B254" t="s">
        <v>9</v>
      </c>
      <c r="C254">
        <v>53</v>
      </c>
      <c r="D254" t="s">
        <v>10</v>
      </c>
      <c r="E254">
        <v>4</v>
      </c>
      <c r="F254">
        <v>500</v>
      </c>
      <c r="G254">
        <v>2000</v>
      </c>
      <c r="H254" s="2">
        <f t="shared" si="3"/>
        <v>45169</v>
      </c>
    </row>
    <row r="255" spans="1:8">
      <c r="A255" s="1">
        <v>45135</v>
      </c>
      <c r="B255" t="s">
        <v>7</v>
      </c>
      <c r="C255">
        <v>41</v>
      </c>
      <c r="D255" t="s">
        <v>11</v>
      </c>
      <c r="E255">
        <v>1</v>
      </c>
      <c r="F255">
        <v>500</v>
      </c>
      <c r="G255">
        <v>500</v>
      </c>
      <c r="H255" s="2">
        <f t="shared" si="3"/>
        <v>45138</v>
      </c>
    </row>
    <row r="256" spans="1:8">
      <c r="A256" s="1">
        <v>45024</v>
      </c>
      <c r="B256" t="s">
        <v>7</v>
      </c>
      <c r="C256">
        <v>48</v>
      </c>
      <c r="D256" t="s">
        <v>10</v>
      </c>
      <c r="E256">
        <v>1</v>
      </c>
      <c r="F256">
        <v>30</v>
      </c>
      <c r="G256">
        <v>30</v>
      </c>
      <c r="H256" s="2">
        <f t="shared" si="3"/>
        <v>45046</v>
      </c>
    </row>
    <row r="257" spans="1:8">
      <c r="A257" s="1">
        <v>44975</v>
      </c>
      <c r="B257" t="s">
        <v>7</v>
      </c>
      <c r="C257">
        <v>23</v>
      </c>
      <c r="D257" t="s">
        <v>10</v>
      </c>
      <c r="E257">
        <v>2</v>
      </c>
      <c r="F257">
        <v>500</v>
      </c>
      <c r="G257">
        <v>1000</v>
      </c>
      <c r="H257" s="2">
        <f t="shared" si="3"/>
        <v>44985</v>
      </c>
    </row>
    <row r="258" spans="1:8">
      <c r="A258" s="1">
        <v>44976</v>
      </c>
      <c r="B258" t="s">
        <v>7</v>
      </c>
      <c r="C258">
        <v>19</v>
      </c>
      <c r="D258" t="s">
        <v>8</v>
      </c>
      <c r="E258">
        <v>4</v>
      </c>
      <c r="F258">
        <v>500</v>
      </c>
      <c r="G258">
        <v>2000</v>
      </c>
      <c r="H258" s="2">
        <f t="shared" si="3"/>
        <v>44985</v>
      </c>
    </row>
    <row r="259" spans="1:8">
      <c r="A259" s="1">
        <v>45264</v>
      </c>
      <c r="B259" t="s">
        <v>9</v>
      </c>
      <c r="C259">
        <v>37</v>
      </c>
      <c r="D259" t="s">
        <v>10</v>
      </c>
      <c r="E259">
        <v>1</v>
      </c>
      <c r="F259">
        <v>50</v>
      </c>
      <c r="G259">
        <v>50</v>
      </c>
      <c r="H259" s="2">
        <f t="shared" ref="H259:H322" si="4">EOMONTH(A259,0)</f>
        <v>45291</v>
      </c>
    </row>
    <row r="260" spans="1:8">
      <c r="A260" s="1">
        <v>45147</v>
      </c>
      <c r="B260" t="s">
        <v>9</v>
      </c>
      <c r="C260">
        <v>45</v>
      </c>
      <c r="D260" t="s">
        <v>10</v>
      </c>
      <c r="E260">
        <v>4</v>
      </c>
      <c r="F260">
        <v>50</v>
      </c>
      <c r="G260">
        <v>200</v>
      </c>
      <c r="H260" s="2">
        <f t="shared" si="4"/>
        <v>45169</v>
      </c>
    </row>
    <row r="261" spans="1:8">
      <c r="A261" s="1">
        <v>45108</v>
      </c>
      <c r="B261" t="s">
        <v>7</v>
      </c>
      <c r="C261">
        <v>28</v>
      </c>
      <c r="D261" t="s">
        <v>8</v>
      </c>
      <c r="E261">
        <v>2</v>
      </c>
      <c r="F261">
        <v>30</v>
      </c>
      <c r="G261">
        <v>60</v>
      </c>
      <c r="H261" s="2">
        <f t="shared" si="4"/>
        <v>45138</v>
      </c>
    </row>
    <row r="262" spans="1:8">
      <c r="A262" s="1">
        <v>45143</v>
      </c>
      <c r="B262" t="s">
        <v>7</v>
      </c>
      <c r="C262">
        <v>21</v>
      </c>
      <c r="D262" t="s">
        <v>10</v>
      </c>
      <c r="E262">
        <v>2</v>
      </c>
      <c r="F262">
        <v>25</v>
      </c>
      <c r="G262">
        <v>50</v>
      </c>
      <c r="H262" s="2">
        <f t="shared" si="4"/>
        <v>45169</v>
      </c>
    </row>
    <row r="263" spans="1:8">
      <c r="A263" s="1">
        <v>45137</v>
      </c>
      <c r="B263" t="s">
        <v>9</v>
      </c>
      <c r="C263">
        <v>32</v>
      </c>
      <c r="D263" t="s">
        <v>8</v>
      </c>
      <c r="E263">
        <v>4</v>
      </c>
      <c r="F263">
        <v>30</v>
      </c>
      <c r="G263">
        <v>120</v>
      </c>
      <c r="H263" s="2">
        <f t="shared" si="4"/>
        <v>45138</v>
      </c>
    </row>
    <row r="264" spans="1:8">
      <c r="A264" s="1">
        <v>45166</v>
      </c>
      <c r="B264" t="s">
        <v>7</v>
      </c>
      <c r="C264">
        <v>23</v>
      </c>
      <c r="D264" t="s">
        <v>8</v>
      </c>
      <c r="E264">
        <v>2</v>
      </c>
      <c r="F264">
        <v>30</v>
      </c>
      <c r="G264">
        <v>60</v>
      </c>
      <c r="H264" s="2">
        <f t="shared" si="4"/>
        <v>45169</v>
      </c>
    </row>
    <row r="265" spans="1:8">
      <c r="A265" s="1">
        <v>44954</v>
      </c>
      <c r="B265" t="s">
        <v>7</v>
      </c>
      <c r="C265">
        <v>47</v>
      </c>
      <c r="D265" t="s">
        <v>10</v>
      </c>
      <c r="E265">
        <v>3</v>
      </c>
      <c r="F265">
        <v>300</v>
      </c>
      <c r="G265">
        <v>900</v>
      </c>
      <c r="H265" s="2">
        <f t="shared" si="4"/>
        <v>44957</v>
      </c>
    </row>
    <row r="266" spans="1:8">
      <c r="A266" s="1">
        <v>45271</v>
      </c>
      <c r="B266" t="s">
        <v>7</v>
      </c>
      <c r="C266">
        <v>55</v>
      </c>
      <c r="D266" t="s">
        <v>10</v>
      </c>
      <c r="E266">
        <v>3</v>
      </c>
      <c r="F266">
        <v>300</v>
      </c>
      <c r="G266">
        <v>900</v>
      </c>
      <c r="H266" s="2">
        <f t="shared" si="4"/>
        <v>45291</v>
      </c>
    </row>
    <row r="267" spans="1:8">
      <c r="A267" s="1">
        <v>45261</v>
      </c>
      <c r="B267" t="s">
        <v>9</v>
      </c>
      <c r="C267">
        <v>19</v>
      </c>
      <c r="D267" t="s">
        <v>11</v>
      </c>
      <c r="E267">
        <v>2</v>
      </c>
      <c r="F267">
        <v>30</v>
      </c>
      <c r="G267">
        <v>60</v>
      </c>
      <c r="H267" s="2">
        <f t="shared" si="4"/>
        <v>45291</v>
      </c>
    </row>
    <row r="268" spans="1:8">
      <c r="A268" s="1">
        <v>45257</v>
      </c>
      <c r="B268" t="s">
        <v>9</v>
      </c>
      <c r="C268">
        <v>32</v>
      </c>
      <c r="D268" t="s">
        <v>8</v>
      </c>
      <c r="E268">
        <v>3</v>
      </c>
      <c r="F268">
        <v>30</v>
      </c>
      <c r="G268">
        <v>90</v>
      </c>
      <c r="H268" s="2">
        <f t="shared" si="4"/>
        <v>45260</v>
      </c>
    </row>
    <row r="269" spans="1:8">
      <c r="A269" s="1">
        <v>44977</v>
      </c>
      <c r="B269" t="s">
        <v>9</v>
      </c>
      <c r="C269">
        <v>28</v>
      </c>
      <c r="D269" t="s">
        <v>11</v>
      </c>
      <c r="E269">
        <v>1</v>
      </c>
      <c r="F269">
        <v>30</v>
      </c>
      <c r="G269">
        <v>30</v>
      </c>
      <c r="H269" s="2">
        <f t="shared" si="4"/>
        <v>44985</v>
      </c>
    </row>
    <row r="270" spans="1:8">
      <c r="A270" s="1">
        <v>44958</v>
      </c>
      <c r="B270" t="s">
        <v>7</v>
      </c>
      <c r="C270">
        <v>25</v>
      </c>
      <c r="D270" t="s">
        <v>10</v>
      </c>
      <c r="E270">
        <v>4</v>
      </c>
      <c r="F270">
        <v>500</v>
      </c>
      <c r="G270">
        <v>2000</v>
      </c>
      <c r="H270" s="2">
        <f t="shared" si="4"/>
        <v>44985</v>
      </c>
    </row>
    <row r="271" spans="1:8">
      <c r="A271" s="1">
        <v>45133</v>
      </c>
      <c r="B271" t="s">
        <v>7</v>
      </c>
      <c r="C271">
        <v>43</v>
      </c>
      <c r="D271" t="s">
        <v>11</v>
      </c>
      <c r="E271">
        <v>1</v>
      </c>
      <c r="F271">
        <v>300</v>
      </c>
      <c r="G271">
        <v>300</v>
      </c>
      <c r="H271" s="2">
        <f t="shared" si="4"/>
        <v>45138</v>
      </c>
    </row>
    <row r="272" spans="1:8">
      <c r="A272" s="1">
        <v>45100</v>
      </c>
      <c r="B272" t="s">
        <v>9</v>
      </c>
      <c r="C272">
        <v>62</v>
      </c>
      <c r="D272" t="s">
        <v>8</v>
      </c>
      <c r="E272">
        <v>4</v>
      </c>
      <c r="F272">
        <v>30</v>
      </c>
      <c r="G272">
        <v>120</v>
      </c>
      <c r="H272" s="2">
        <f t="shared" si="4"/>
        <v>45107</v>
      </c>
    </row>
    <row r="273" spans="1:8">
      <c r="A273" s="1">
        <v>44982</v>
      </c>
      <c r="B273" t="s">
        <v>9</v>
      </c>
      <c r="C273">
        <v>61</v>
      </c>
      <c r="D273" t="s">
        <v>11</v>
      </c>
      <c r="E273">
        <v>2</v>
      </c>
      <c r="F273">
        <v>50</v>
      </c>
      <c r="G273">
        <v>100</v>
      </c>
      <c r="H273" s="2">
        <f t="shared" si="4"/>
        <v>44985</v>
      </c>
    </row>
    <row r="274" spans="1:8">
      <c r="A274" s="1">
        <v>45054</v>
      </c>
      <c r="B274" t="s">
        <v>9</v>
      </c>
      <c r="C274">
        <v>22</v>
      </c>
      <c r="D274" t="s">
        <v>8</v>
      </c>
      <c r="E274">
        <v>1</v>
      </c>
      <c r="F274">
        <v>50</v>
      </c>
      <c r="G274">
        <v>50</v>
      </c>
      <c r="H274" s="2">
        <f t="shared" si="4"/>
        <v>45077</v>
      </c>
    </row>
    <row r="275" spans="1:8">
      <c r="A275" s="1">
        <v>45025</v>
      </c>
      <c r="B275" t="s">
        <v>9</v>
      </c>
      <c r="C275">
        <v>23</v>
      </c>
      <c r="D275" t="s">
        <v>10</v>
      </c>
      <c r="E275">
        <v>2</v>
      </c>
      <c r="F275">
        <v>500</v>
      </c>
      <c r="G275">
        <v>1000</v>
      </c>
      <c r="H275" s="2">
        <f t="shared" si="4"/>
        <v>45046</v>
      </c>
    </row>
    <row r="276" spans="1:8">
      <c r="A276" s="1">
        <v>45024</v>
      </c>
      <c r="B276" t="s">
        <v>7</v>
      </c>
      <c r="C276">
        <v>43</v>
      </c>
      <c r="D276" t="s">
        <v>10</v>
      </c>
      <c r="E276">
        <v>2</v>
      </c>
      <c r="F276">
        <v>500</v>
      </c>
      <c r="G276">
        <v>1000</v>
      </c>
      <c r="H276" s="2">
        <f t="shared" si="4"/>
        <v>45046</v>
      </c>
    </row>
    <row r="277" spans="1:8">
      <c r="A277" s="1">
        <v>45201</v>
      </c>
      <c r="B277" t="s">
        <v>9</v>
      </c>
      <c r="C277">
        <v>21</v>
      </c>
      <c r="D277" t="s">
        <v>8</v>
      </c>
      <c r="E277">
        <v>4</v>
      </c>
      <c r="F277">
        <v>25</v>
      </c>
      <c r="G277">
        <v>100</v>
      </c>
      <c r="H277" s="2">
        <f t="shared" si="4"/>
        <v>45230</v>
      </c>
    </row>
    <row r="278" spans="1:8">
      <c r="A278" s="1">
        <v>45156</v>
      </c>
      <c r="B278" t="s">
        <v>7</v>
      </c>
      <c r="C278">
        <v>36</v>
      </c>
      <c r="D278" t="s">
        <v>10</v>
      </c>
      <c r="E278">
        <v>4</v>
      </c>
      <c r="F278">
        <v>25</v>
      </c>
      <c r="G278">
        <v>100</v>
      </c>
      <c r="H278" s="2">
        <f t="shared" si="4"/>
        <v>45169</v>
      </c>
    </row>
    <row r="279" spans="1:8">
      <c r="A279" s="1">
        <v>44998</v>
      </c>
      <c r="B279" t="s">
        <v>9</v>
      </c>
      <c r="C279">
        <v>37</v>
      </c>
      <c r="D279" t="s">
        <v>10</v>
      </c>
      <c r="E279">
        <v>4</v>
      </c>
      <c r="F279">
        <v>25</v>
      </c>
      <c r="G279">
        <v>100</v>
      </c>
      <c r="H279" s="2">
        <f t="shared" si="4"/>
        <v>45016</v>
      </c>
    </row>
    <row r="280" spans="1:8">
      <c r="A280" s="1">
        <v>45143</v>
      </c>
      <c r="B280" t="s">
        <v>7</v>
      </c>
      <c r="C280">
        <v>50</v>
      </c>
      <c r="D280" t="s">
        <v>10</v>
      </c>
      <c r="E280">
        <v>1</v>
      </c>
      <c r="F280">
        <v>500</v>
      </c>
      <c r="G280">
        <v>500</v>
      </c>
      <c r="H280" s="2">
        <f t="shared" si="4"/>
        <v>45169</v>
      </c>
    </row>
    <row r="281" spans="1:8">
      <c r="A281" s="1">
        <v>45020</v>
      </c>
      <c r="B281" t="s">
        <v>9</v>
      </c>
      <c r="C281">
        <v>37</v>
      </c>
      <c r="D281" t="s">
        <v>10</v>
      </c>
      <c r="E281">
        <v>3</v>
      </c>
      <c r="F281">
        <v>500</v>
      </c>
      <c r="G281">
        <v>1500</v>
      </c>
      <c r="H281" s="2">
        <f t="shared" si="4"/>
        <v>45046</v>
      </c>
    </row>
    <row r="282" spans="1:8">
      <c r="A282" s="1">
        <v>45069</v>
      </c>
      <c r="B282" t="s">
        <v>9</v>
      </c>
      <c r="C282">
        <v>29</v>
      </c>
      <c r="D282" t="s">
        <v>8</v>
      </c>
      <c r="E282">
        <v>4</v>
      </c>
      <c r="F282">
        <v>500</v>
      </c>
      <c r="G282">
        <v>2000</v>
      </c>
      <c r="H282" s="2">
        <f t="shared" si="4"/>
        <v>45077</v>
      </c>
    </row>
    <row r="283" spans="1:8">
      <c r="A283" s="1">
        <v>45163</v>
      </c>
      <c r="B283" t="s">
        <v>9</v>
      </c>
      <c r="C283">
        <v>64</v>
      </c>
      <c r="D283" t="s">
        <v>11</v>
      </c>
      <c r="E283">
        <v>4</v>
      </c>
      <c r="F283">
        <v>50</v>
      </c>
      <c r="G283">
        <v>200</v>
      </c>
      <c r="H283" s="2">
        <f t="shared" si="4"/>
        <v>45169</v>
      </c>
    </row>
    <row r="284" spans="1:8">
      <c r="A284" s="1">
        <v>45054</v>
      </c>
      <c r="B284" t="s">
        <v>9</v>
      </c>
      <c r="C284">
        <v>18</v>
      </c>
      <c r="D284" t="s">
        <v>11</v>
      </c>
      <c r="E284">
        <v>1</v>
      </c>
      <c r="F284">
        <v>500</v>
      </c>
      <c r="G284">
        <v>500</v>
      </c>
      <c r="H284" s="2">
        <f t="shared" si="4"/>
        <v>45077</v>
      </c>
    </row>
    <row r="285" spans="1:8">
      <c r="A285" s="1">
        <v>44965</v>
      </c>
      <c r="B285" t="s">
        <v>7</v>
      </c>
      <c r="C285">
        <v>43</v>
      </c>
      <c r="D285" t="s">
        <v>10</v>
      </c>
      <c r="E285">
        <v>4</v>
      </c>
      <c r="F285">
        <v>50</v>
      </c>
      <c r="G285">
        <v>200</v>
      </c>
      <c r="H285" s="2">
        <f t="shared" si="4"/>
        <v>44985</v>
      </c>
    </row>
    <row r="286" spans="1:8">
      <c r="A286" s="1">
        <v>45153</v>
      </c>
      <c r="B286" t="s">
        <v>9</v>
      </c>
      <c r="C286">
        <v>31</v>
      </c>
      <c r="D286" t="s">
        <v>11</v>
      </c>
      <c r="E286">
        <v>1</v>
      </c>
      <c r="F286">
        <v>25</v>
      </c>
      <c r="G286">
        <v>25</v>
      </c>
      <c r="H286" s="2">
        <f t="shared" si="4"/>
        <v>45169</v>
      </c>
    </row>
    <row r="287" spans="1:8">
      <c r="A287" s="1">
        <v>45208</v>
      </c>
      <c r="B287" t="s">
        <v>7</v>
      </c>
      <c r="C287">
        <v>55</v>
      </c>
      <c r="D287" t="s">
        <v>11</v>
      </c>
      <c r="E287">
        <v>2</v>
      </c>
      <c r="F287">
        <v>25</v>
      </c>
      <c r="G287">
        <v>50</v>
      </c>
      <c r="H287" s="2">
        <f t="shared" si="4"/>
        <v>45230</v>
      </c>
    </row>
    <row r="288" spans="1:8">
      <c r="A288" s="1">
        <v>44977</v>
      </c>
      <c r="B288" t="s">
        <v>7</v>
      </c>
      <c r="C288">
        <v>54</v>
      </c>
      <c r="D288" t="s">
        <v>10</v>
      </c>
      <c r="E288">
        <v>4</v>
      </c>
      <c r="F288">
        <v>25</v>
      </c>
      <c r="G288">
        <v>100</v>
      </c>
      <c r="H288" s="2">
        <f t="shared" si="4"/>
        <v>44985</v>
      </c>
    </row>
    <row r="289" spans="1:8">
      <c r="A289" s="1">
        <v>44952</v>
      </c>
      <c r="B289" t="s">
        <v>7</v>
      </c>
      <c r="C289">
        <v>28</v>
      </c>
      <c r="D289" t="s">
        <v>10</v>
      </c>
      <c r="E289">
        <v>4</v>
      </c>
      <c r="F289">
        <v>30</v>
      </c>
      <c r="G289">
        <v>120</v>
      </c>
      <c r="H289" s="2">
        <f t="shared" si="4"/>
        <v>44957</v>
      </c>
    </row>
    <row r="290" spans="1:8">
      <c r="A290" s="1">
        <v>45260</v>
      </c>
      <c r="B290" t="s">
        <v>7</v>
      </c>
      <c r="C290">
        <v>53</v>
      </c>
      <c r="D290" t="s">
        <v>11</v>
      </c>
      <c r="E290">
        <v>2</v>
      </c>
      <c r="F290">
        <v>30</v>
      </c>
      <c r="G290">
        <v>60</v>
      </c>
      <c r="H290" s="2">
        <f t="shared" si="4"/>
        <v>45260</v>
      </c>
    </row>
    <row r="291" spans="1:8">
      <c r="A291" s="1">
        <v>45203</v>
      </c>
      <c r="B291" t="s">
        <v>9</v>
      </c>
      <c r="C291">
        <v>30</v>
      </c>
      <c r="D291" t="s">
        <v>8</v>
      </c>
      <c r="E291">
        <v>2</v>
      </c>
      <c r="F291">
        <v>300</v>
      </c>
      <c r="G291">
        <v>600</v>
      </c>
      <c r="H291" s="2">
        <f t="shared" si="4"/>
        <v>45230</v>
      </c>
    </row>
    <row r="292" spans="1:8">
      <c r="A292" s="1">
        <v>44934</v>
      </c>
      <c r="B292" t="s">
        <v>7</v>
      </c>
      <c r="C292">
        <v>60</v>
      </c>
      <c r="D292" t="s">
        <v>10</v>
      </c>
      <c r="E292">
        <v>2</v>
      </c>
      <c r="F292">
        <v>300</v>
      </c>
      <c r="G292">
        <v>600</v>
      </c>
      <c r="H292" s="2">
        <f t="shared" si="4"/>
        <v>44957</v>
      </c>
    </row>
    <row r="293" spans="1:8">
      <c r="A293" s="1">
        <v>44974</v>
      </c>
      <c r="B293" t="s">
        <v>7</v>
      </c>
      <c r="C293">
        <v>20</v>
      </c>
      <c r="D293" t="s">
        <v>8</v>
      </c>
      <c r="E293">
        <v>4</v>
      </c>
      <c r="F293">
        <v>300</v>
      </c>
      <c r="G293">
        <v>1200</v>
      </c>
      <c r="H293" s="2">
        <f t="shared" si="4"/>
        <v>44985</v>
      </c>
    </row>
    <row r="294" spans="1:8">
      <c r="A294" s="1">
        <v>45048</v>
      </c>
      <c r="B294" t="s">
        <v>7</v>
      </c>
      <c r="C294">
        <v>50</v>
      </c>
      <c r="D294" t="s">
        <v>11</v>
      </c>
      <c r="E294">
        <v>3</v>
      </c>
      <c r="F294">
        <v>30</v>
      </c>
      <c r="G294">
        <v>90</v>
      </c>
      <c r="H294" s="2">
        <f t="shared" si="4"/>
        <v>45077</v>
      </c>
    </row>
    <row r="295" spans="1:8">
      <c r="A295" s="1">
        <v>45012</v>
      </c>
      <c r="B295" t="s">
        <v>9</v>
      </c>
      <c r="C295">
        <v>23</v>
      </c>
      <c r="D295" t="s">
        <v>10</v>
      </c>
      <c r="E295">
        <v>3</v>
      </c>
      <c r="F295">
        <v>30</v>
      </c>
      <c r="G295">
        <v>90</v>
      </c>
      <c r="H295" s="2">
        <f t="shared" si="4"/>
        <v>45016</v>
      </c>
    </row>
    <row r="296" spans="1:8">
      <c r="A296" s="1">
        <v>45135</v>
      </c>
      <c r="B296" t="s">
        <v>9</v>
      </c>
      <c r="C296">
        <v>27</v>
      </c>
      <c r="D296" t="s">
        <v>8</v>
      </c>
      <c r="E296">
        <v>3</v>
      </c>
      <c r="F296">
        <v>300</v>
      </c>
      <c r="G296">
        <v>900</v>
      </c>
      <c r="H296" s="2">
        <f t="shared" si="4"/>
        <v>45138</v>
      </c>
    </row>
    <row r="297" spans="1:8">
      <c r="A297" s="1">
        <v>45175</v>
      </c>
      <c r="B297" t="s">
        <v>9</v>
      </c>
      <c r="C297">
        <v>22</v>
      </c>
      <c r="D297" t="s">
        <v>10</v>
      </c>
      <c r="E297">
        <v>4</v>
      </c>
      <c r="F297">
        <v>300</v>
      </c>
      <c r="G297">
        <v>1200</v>
      </c>
      <c r="H297" s="2">
        <f t="shared" si="4"/>
        <v>45199</v>
      </c>
    </row>
    <row r="298" spans="1:8">
      <c r="A298" s="1">
        <v>45173</v>
      </c>
      <c r="B298" t="s">
        <v>9</v>
      </c>
      <c r="C298">
        <v>40</v>
      </c>
      <c r="D298" t="s">
        <v>11</v>
      </c>
      <c r="E298">
        <v>2</v>
      </c>
      <c r="F298">
        <v>500</v>
      </c>
      <c r="G298">
        <v>1000</v>
      </c>
      <c r="H298" s="2">
        <f t="shared" si="4"/>
        <v>45199</v>
      </c>
    </row>
    <row r="299" spans="1:8">
      <c r="A299" s="1">
        <v>45036</v>
      </c>
      <c r="B299" t="s">
        <v>7</v>
      </c>
      <c r="C299">
        <v>27</v>
      </c>
      <c r="D299" t="s">
        <v>8</v>
      </c>
      <c r="E299">
        <v>4</v>
      </c>
      <c r="F299">
        <v>300</v>
      </c>
      <c r="G299">
        <v>1200</v>
      </c>
      <c r="H299" s="2">
        <f t="shared" si="4"/>
        <v>45046</v>
      </c>
    </row>
    <row r="300" spans="1:8">
      <c r="A300" s="1">
        <v>45132</v>
      </c>
      <c r="B300" t="s">
        <v>7</v>
      </c>
      <c r="C300">
        <v>61</v>
      </c>
      <c r="D300" t="s">
        <v>11</v>
      </c>
      <c r="E300">
        <v>2</v>
      </c>
      <c r="F300">
        <v>500</v>
      </c>
      <c r="G300">
        <v>1000</v>
      </c>
      <c r="H300" s="2">
        <f t="shared" si="4"/>
        <v>45138</v>
      </c>
    </row>
    <row r="301" spans="1:8">
      <c r="A301" s="1">
        <v>44957</v>
      </c>
      <c r="B301" t="s">
        <v>9</v>
      </c>
      <c r="C301">
        <v>19</v>
      </c>
      <c r="D301" t="s">
        <v>11</v>
      </c>
      <c r="E301">
        <v>4</v>
      </c>
      <c r="F301">
        <v>50</v>
      </c>
      <c r="G301">
        <v>200</v>
      </c>
      <c r="H301" s="2">
        <f t="shared" si="4"/>
        <v>44957</v>
      </c>
    </row>
    <row r="302" spans="1:8">
      <c r="A302" s="1">
        <v>45011</v>
      </c>
      <c r="B302" t="s">
        <v>7</v>
      </c>
      <c r="C302">
        <v>30</v>
      </c>
      <c r="D302" t="s">
        <v>10</v>
      </c>
      <c r="E302">
        <v>4</v>
      </c>
      <c r="F302">
        <v>30</v>
      </c>
      <c r="G302">
        <v>120</v>
      </c>
      <c r="H302" s="2">
        <f t="shared" si="4"/>
        <v>45016</v>
      </c>
    </row>
    <row r="303" spans="1:8">
      <c r="A303" s="1">
        <v>45121</v>
      </c>
      <c r="B303" t="s">
        <v>7</v>
      </c>
      <c r="C303">
        <v>57</v>
      </c>
      <c r="D303" t="s">
        <v>8</v>
      </c>
      <c r="E303">
        <v>2</v>
      </c>
      <c r="F303">
        <v>300</v>
      </c>
      <c r="G303">
        <v>600</v>
      </c>
      <c r="H303" s="2">
        <f t="shared" si="4"/>
        <v>45138</v>
      </c>
    </row>
    <row r="304" spans="1:8">
      <c r="A304" s="1">
        <v>44928</v>
      </c>
      <c r="B304" t="s">
        <v>7</v>
      </c>
      <c r="C304">
        <v>19</v>
      </c>
      <c r="D304" t="s">
        <v>11</v>
      </c>
      <c r="E304">
        <v>3</v>
      </c>
      <c r="F304">
        <v>30</v>
      </c>
      <c r="G304">
        <v>90</v>
      </c>
      <c r="H304" s="2">
        <f t="shared" si="4"/>
        <v>44957</v>
      </c>
    </row>
    <row r="305" spans="1:8">
      <c r="A305" s="1">
        <v>45126</v>
      </c>
      <c r="B305" t="s">
        <v>9</v>
      </c>
      <c r="C305">
        <v>37</v>
      </c>
      <c r="D305" t="s">
        <v>11</v>
      </c>
      <c r="E305">
        <v>2</v>
      </c>
      <c r="F305">
        <v>30</v>
      </c>
      <c r="G305">
        <v>60</v>
      </c>
      <c r="H305" s="2">
        <f t="shared" si="4"/>
        <v>45138</v>
      </c>
    </row>
    <row r="306" spans="1:8">
      <c r="A306" s="1">
        <v>45062</v>
      </c>
      <c r="B306" t="s">
        <v>9</v>
      </c>
      <c r="C306">
        <v>18</v>
      </c>
      <c r="D306" t="s">
        <v>8</v>
      </c>
      <c r="E306">
        <v>1</v>
      </c>
      <c r="F306">
        <v>30</v>
      </c>
      <c r="G306">
        <v>30</v>
      </c>
      <c r="H306" s="2">
        <f t="shared" si="4"/>
        <v>45077</v>
      </c>
    </row>
    <row r="307" spans="1:8">
      <c r="A307" s="1">
        <v>45159</v>
      </c>
      <c r="B307" t="s">
        <v>7</v>
      </c>
      <c r="C307">
        <v>54</v>
      </c>
      <c r="D307" t="s">
        <v>11</v>
      </c>
      <c r="E307">
        <v>1</v>
      </c>
      <c r="F307">
        <v>50</v>
      </c>
      <c r="G307">
        <v>50</v>
      </c>
      <c r="H307" s="2">
        <f t="shared" si="4"/>
        <v>45169</v>
      </c>
    </row>
    <row r="308" spans="1:8">
      <c r="A308" s="1">
        <v>45073</v>
      </c>
      <c r="B308" t="s">
        <v>9</v>
      </c>
      <c r="C308">
        <v>26</v>
      </c>
      <c r="D308" t="s">
        <v>11</v>
      </c>
      <c r="E308">
        <v>2</v>
      </c>
      <c r="F308">
        <v>25</v>
      </c>
      <c r="G308">
        <v>50</v>
      </c>
      <c r="H308" s="2">
        <f t="shared" si="4"/>
        <v>45077</v>
      </c>
    </row>
    <row r="309" spans="1:8">
      <c r="A309" s="1">
        <v>45143</v>
      </c>
      <c r="B309" t="s">
        <v>9</v>
      </c>
      <c r="C309">
        <v>34</v>
      </c>
      <c r="D309" t="s">
        <v>8</v>
      </c>
      <c r="E309">
        <v>4</v>
      </c>
      <c r="F309">
        <v>300</v>
      </c>
      <c r="G309">
        <v>1200</v>
      </c>
      <c r="H309" s="2">
        <f t="shared" si="4"/>
        <v>45169</v>
      </c>
    </row>
    <row r="310" spans="1:8">
      <c r="A310" s="1">
        <v>45283</v>
      </c>
      <c r="B310" t="s">
        <v>9</v>
      </c>
      <c r="C310">
        <v>26</v>
      </c>
      <c r="D310" t="s">
        <v>8</v>
      </c>
      <c r="E310">
        <v>1</v>
      </c>
      <c r="F310">
        <v>25</v>
      </c>
      <c r="G310">
        <v>25</v>
      </c>
      <c r="H310" s="2">
        <f t="shared" si="4"/>
        <v>45291</v>
      </c>
    </row>
    <row r="311" spans="1:8">
      <c r="A311" s="1">
        <v>45211</v>
      </c>
      <c r="B311" t="s">
        <v>9</v>
      </c>
      <c r="C311">
        <v>28</v>
      </c>
      <c r="D311" t="s">
        <v>8</v>
      </c>
      <c r="E311">
        <v>1</v>
      </c>
      <c r="F311">
        <v>25</v>
      </c>
      <c r="G311">
        <v>25</v>
      </c>
      <c r="H311" s="2">
        <f t="shared" si="4"/>
        <v>45230</v>
      </c>
    </row>
    <row r="312" spans="1:8">
      <c r="A312" s="1">
        <v>45265</v>
      </c>
      <c r="B312" t="s">
        <v>9</v>
      </c>
      <c r="C312">
        <v>32</v>
      </c>
      <c r="D312" t="s">
        <v>8</v>
      </c>
      <c r="E312">
        <v>4</v>
      </c>
      <c r="F312">
        <v>25</v>
      </c>
      <c r="G312">
        <v>100</v>
      </c>
      <c r="H312" s="2">
        <f t="shared" si="4"/>
        <v>45291</v>
      </c>
    </row>
    <row r="313" spans="1:8">
      <c r="A313" s="1">
        <v>45176</v>
      </c>
      <c r="B313" t="s">
        <v>7</v>
      </c>
      <c r="C313">
        <v>41</v>
      </c>
      <c r="D313" t="s">
        <v>10</v>
      </c>
      <c r="E313">
        <v>4</v>
      </c>
      <c r="F313">
        <v>30</v>
      </c>
      <c r="G313">
        <v>120</v>
      </c>
      <c r="H313" s="2">
        <f t="shared" si="4"/>
        <v>45199</v>
      </c>
    </row>
    <row r="314" spans="1:8">
      <c r="A314" s="1">
        <v>45006</v>
      </c>
      <c r="B314" t="s">
        <v>9</v>
      </c>
      <c r="C314">
        <v>55</v>
      </c>
      <c r="D314" t="s">
        <v>8</v>
      </c>
      <c r="E314">
        <v>3</v>
      </c>
      <c r="F314">
        <v>500</v>
      </c>
      <c r="G314">
        <v>1500</v>
      </c>
      <c r="H314" s="2">
        <f t="shared" si="4"/>
        <v>45016</v>
      </c>
    </row>
    <row r="315" spans="1:8">
      <c r="A315" s="1">
        <v>45024</v>
      </c>
      <c r="B315" t="s">
        <v>7</v>
      </c>
      <c r="C315">
        <v>52</v>
      </c>
      <c r="D315" t="s">
        <v>10</v>
      </c>
      <c r="E315">
        <v>4</v>
      </c>
      <c r="F315">
        <v>30</v>
      </c>
      <c r="G315">
        <v>120</v>
      </c>
      <c r="H315" s="2">
        <f t="shared" si="4"/>
        <v>45046</v>
      </c>
    </row>
    <row r="316" spans="1:8">
      <c r="A316" s="1">
        <v>45078</v>
      </c>
      <c r="B316" t="s">
        <v>7</v>
      </c>
      <c r="C316">
        <v>47</v>
      </c>
      <c r="D316" t="s">
        <v>10</v>
      </c>
      <c r="E316">
        <v>2</v>
      </c>
      <c r="F316">
        <v>30</v>
      </c>
      <c r="G316">
        <v>60</v>
      </c>
      <c r="H316" s="2">
        <f t="shared" si="4"/>
        <v>45107</v>
      </c>
    </row>
    <row r="317" spans="1:8">
      <c r="A317" s="1">
        <v>45038</v>
      </c>
      <c r="B317" t="s">
        <v>9</v>
      </c>
      <c r="C317">
        <v>48</v>
      </c>
      <c r="D317" t="s">
        <v>10</v>
      </c>
      <c r="E317">
        <v>2</v>
      </c>
      <c r="F317">
        <v>25</v>
      </c>
      <c r="G317">
        <v>50</v>
      </c>
      <c r="H317" s="2">
        <f t="shared" si="4"/>
        <v>45046</v>
      </c>
    </row>
    <row r="318" spans="1:8">
      <c r="A318" s="1">
        <v>44956</v>
      </c>
      <c r="B318" t="s">
        <v>7</v>
      </c>
      <c r="C318">
        <v>22</v>
      </c>
      <c r="D318" t="s">
        <v>11</v>
      </c>
      <c r="E318">
        <v>3</v>
      </c>
      <c r="F318">
        <v>30</v>
      </c>
      <c r="G318">
        <v>90</v>
      </c>
      <c r="H318" s="2">
        <f t="shared" si="4"/>
        <v>44957</v>
      </c>
    </row>
    <row r="319" spans="1:8">
      <c r="A319" s="1">
        <v>45223</v>
      </c>
      <c r="B319" t="s">
        <v>7</v>
      </c>
      <c r="C319">
        <v>61</v>
      </c>
      <c r="D319" t="s">
        <v>10</v>
      </c>
      <c r="E319">
        <v>1</v>
      </c>
      <c r="F319">
        <v>25</v>
      </c>
      <c r="G319">
        <v>25</v>
      </c>
      <c r="H319" s="2">
        <f t="shared" si="4"/>
        <v>45230</v>
      </c>
    </row>
    <row r="320" spans="1:8">
      <c r="A320" s="1">
        <v>45204</v>
      </c>
      <c r="B320" t="s">
        <v>7</v>
      </c>
      <c r="C320">
        <v>31</v>
      </c>
      <c r="D320" t="s">
        <v>10</v>
      </c>
      <c r="E320">
        <v>1</v>
      </c>
      <c r="F320">
        <v>500</v>
      </c>
      <c r="G320">
        <v>500</v>
      </c>
      <c r="H320" s="2">
        <f t="shared" si="4"/>
        <v>45230</v>
      </c>
    </row>
    <row r="321" spans="1:8">
      <c r="A321" s="1">
        <v>44958</v>
      </c>
      <c r="B321" t="s">
        <v>9</v>
      </c>
      <c r="C321">
        <v>28</v>
      </c>
      <c r="D321" t="s">
        <v>11</v>
      </c>
      <c r="E321">
        <v>4</v>
      </c>
      <c r="F321">
        <v>300</v>
      </c>
      <c r="G321">
        <v>1200</v>
      </c>
      <c r="H321" s="2">
        <f t="shared" si="4"/>
        <v>44985</v>
      </c>
    </row>
    <row r="322" spans="1:8">
      <c r="A322" s="1">
        <v>45087</v>
      </c>
      <c r="B322" t="s">
        <v>9</v>
      </c>
      <c r="C322">
        <v>26</v>
      </c>
      <c r="D322" t="s">
        <v>11</v>
      </c>
      <c r="E322">
        <v>2</v>
      </c>
      <c r="F322">
        <v>25</v>
      </c>
      <c r="G322">
        <v>50</v>
      </c>
      <c r="H322" s="2">
        <f t="shared" si="4"/>
        <v>45107</v>
      </c>
    </row>
    <row r="323" spans="1:8">
      <c r="A323" s="1">
        <v>44956</v>
      </c>
      <c r="B323" t="s">
        <v>7</v>
      </c>
      <c r="C323">
        <v>51</v>
      </c>
      <c r="D323" t="s">
        <v>11</v>
      </c>
      <c r="E323">
        <v>1</v>
      </c>
      <c r="F323">
        <v>500</v>
      </c>
      <c r="G323">
        <v>500</v>
      </c>
      <c r="H323" s="2">
        <f t="shared" ref="H323:H386" si="5">EOMONTH(A323,0)</f>
        <v>44957</v>
      </c>
    </row>
    <row r="324" spans="1:8">
      <c r="A324" s="1">
        <v>44952</v>
      </c>
      <c r="B324" t="s">
        <v>9</v>
      </c>
      <c r="C324">
        <v>29</v>
      </c>
      <c r="D324" t="s">
        <v>8</v>
      </c>
      <c r="E324">
        <v>3</v>
      </c>
      <c r="F324">
        <v>300</v>
      </c>
      <c r="G324">
        <v>900</v>
      </c>
      <c r="H324" s="2">
        <f t="shared" si="5"/>
        <v>44957</v>
      </c>
    </row>
    <row r="325" spans="1:8">
      <c r="A325" s="1">
        <v>45226</v>
      </c>
      <c r="B325" t="s">
        <v>9</v>
      </c>
      <c r="C325">
        <v>52</v>
      </c>
      <c r="D325" t="s">
        <v>11</v>
      </c>
      <c r="E325">
        <v>3</v>
      </c>
      <c r="F325">
        <v>50</v>
      </c>
      <c r="G325">
        <v>150</v>
      </c>
      <c r="H325" s="2">
        <f t="shared" si="5"/>
        <v>45230</v>
      </c>
    </row>
    <row r="326" spans="1:8">
      <c r="A326" s="1">
        <v>45171</v>
      </c>
      <c r="B326" t="s">
        <v>9</v>
      </c>
      <c r="C326">
        <v>52</v>
      </c>
      <c r="D326" t="s">
        <v>11</v>
      </c>
      <c r="E326">
        <v>2</v>
      </c>
      <c r="F326">
        <v>25</v>
      </c>
      <c r="G326">
        <v>50</v>
      </c>
      <c r="H326" s="2">
        <f t="shared" si="5"/>
        <v>45199</v>
      </c>
    </row>
    <row r="327" spans="1:8">
      <c r="A327" s="1">
        <v>45184</v>
      </c>
      <c r="B327" t="s">
        <v>9</v>
      </c>
      <c r="C327">
        <v>18</v>
      </c>
      <c r="D327" t="s">
        <v>10</v>
      </c>
      <c r="E327">
        <v>3</v>
      </c>
      <c r="F327">
        <v>25</v>
      </c>
      <c r="G327">
        <v>75</v>
      </c>
      <c r="H327" s="2">
        <f t="shared" si="5"/>
        <v>45199</v>
      </c>
    </row>
    <row r="328" spans="1:8">
      <c r="A328" s="1">
        <v>45198</v>
      </c>
      <c r="B328" t="s">
        <v>7</v>
      </c>
      <c r="C328">
        <v>57</v>
      </c>
      <c r="D328" t="s">
        <v>11</v>
      </c>
      <c r="E328">
        <v>3</v>
      </c>
      <c r="F328">
        <v>50</v>
      </c>
      <c r="G328">
        <v>150</v>
      </c>
      <c r="H328" s="2">
        <f t="shared" si="5"/>
        <v>45199</v>
      </c>
    </row>
    <row r="329" spans="1:8">
      <c r="A329" s="1">
        <v>45007</v>
      </c>
      <c r="B329" t="s">
        <v>7</v>
      </c>
      <c r="C329">
        <v>39</v>
      </c>
      <c r="D329" t="s">
        <v>8</v>
      </c>
      <c r="E329">
        <v>2</v>
      </c>
      <c r="F329">
        <v>50</v>
      </c>
      <c r="G329">
        <v>100</v>
      </c>
      <c r="H329" s="2">
        <f t="shared" si="5"/>
        <v>45016</v>
      </c>
    </row>
    <row r="330" spans="1:8">
      <c r="A330" s="1">
        <v>44956</v>
      </c>
      <c r="B330" t="s">
        <v>9</v>
      </c>
      <c r="C330">
        <v>46</v>
      </c>
      <c r="D330" t="s">
        <v>11</v>
      </c>
      <c r="E330">
        <v>4</v>
      </c>
      <c r="F330">
        <v>25</v>
      </c>
      <c r="G330">
        <v>100</v>
      </c>
      <c r="H330" s="2">
        <f t="shared" si="5"/>
        <v>44957</v>
      </c>
    </row>
    <row r="331" spans="1:8">
      <c r="A331" s="1">
        <v>45187</v>
      </c>
      <c r="B331" t="s">
        <v>9</v>
      </c>
      <c r="C331">
        <v>25</v>
      </c>
      <c r="D331" t="s">
        <v>8</v>
      </c>
      <c r="E331">
        <v>4</v>
      </c>
      <c r="F331">
        <v>50</v>
      </c>
      <c r="G331">
        <v>200</v>
      </c>
      <c r="H331" s="2">
        <f t="shared" si="5"/>
        <v>45199</v>
      </c>
    </row>
    <row r="332" spans="1:8">
      <c r="A332" s="1">
        <v>44968</v>
      </c>
      <c r="B332" t="s">
        <v>7</v>
      </c>
      <c r="C332">
        <v>28</v>
      </c>
      <c r="D332" t="s">
        <v>11</v>
      </c>
      <c r="E332">
        <v>3</v>
      </c>
      <c r="F332">
        <v>30</v>
      </c>
      <c r="G332">
        <v>90</v>
      </c>
      <c r="H332" s="2">
        <f t="shared" si="5"/>
        <v>44985</v>
      </c>
    </row>
    <row r="333" spans="1:8">
      <c r="A333" s="1">
        <v>45022</v>
      </c>
      <c r="B333" t="s">
        <v>7</v>
      </c>
      <c r="C333">
        <v>58</v>
      </c>
      <c r="D333" t="s">
        <v>11</v>
      </c>
      <c r="E333">
        <v>4</v>
      </c>
      <c r="F333">
        <v>300</v>
      </c>
      <c r="G333">
        <v>1200</v>
      </c>
      <c r="H333" s="2">
        <f t="shared" si="5"/>
        <v>45046</v>
      </c>
    </row>
    <row r="334" spans="1:8">
      <c r="A334" s="1">
        <v>44962</v>
      </c>
      <c r="B334" t="s">
        <v>9</v>
      </c>
      <c r="C334">
        <v>54</v>
      </c>
      <c r="D334" t="s">
        <v>11</v>
      </c>
      <c r="E334">
        <v>4</v>
      </c>
      <c r="F334">
        <v>300</v>
      </c>
      <c r="G334">
        <v>1200</v>
      </c>
      <c r="H334" s="2">
        <f t="shared" si="5"/>
        <v>44985</v>
      </c>
    </row>
    <row r="335" spans="1:8">
      <c r="A335" s="1">
        <v>45231</v>
      </c>
      <c r="B335" t="s">
        <v>7</v>
      </c>
      <c r="C335">
        <v>31</v>
      </c>
      <c r="D335" t="s">
        <v>11</v>
      </c>
      <c r="E335">
        <v>3</v>
      </c>
      <c r="F335">
        <v>300</v>
      </c>
      <c r="G335">
        <v>900</v>
      </c>
      <c r="H335" s="2">
        <f t="shared" si="5"/>
        <v>45260</v>
      </c>
    </row>
    <row r="336" spans="1:8">
      <c r="A336" s="1">
        <v>44961</v>
      </c>
      <c r="B336" t="s">
        <v>9</v>
      </c>
      <c r="C336">
        <v>47</v>
      </c>
      <c r="D336" t="s">
        <v>8</v>
      </c>
      <c r="E336">
        <v>4</v>
      </c>
      <c r="F336">
        <v>30</v>
      </c>
      <c r="G336">
        <v>120</v>
      </c>
      <c r="H336" s="2">
        <f t="shared" si="5"/>
        <v>44985</v>
      </c>
    </row>
    <row r="337" spans="1:8">
      <c r="A337" s="1">
        <v>45272</v>
      </c>
      <c r="B337" t="s">
        <v>9</v>
      </c>
      <c r="C337">
        <v>52</v>
      </c>
      <c r="D337" t="s">
        <v>8</v>
      </c>
      <c r="E337">
        <v>3</v>
      </c>
      <c r="F337">
        <v>50</v>
      </c>
      <c r="G337">
        <v>150</v>
      </c>
      <c r="H337" s="2">
        <f t="shared" si="5"/>
        <v>45291</v>
      </c>
    </row>
    <row r="338" spans="1:8">
      <c r="A338" s="1">
        <v>45047</v>
      </c>
      <c r="B338" t="s">
        <v>7</v>
      </c>
      <c r="C338">
        <v>38</v>
      </c>
      <c r="D338" t="s">
        <v>10</v>
      </c>
      <c r="E338">
        <v>1</v>
      </c>
      <c r="F338">
        <v>500</v>
      </c>
      <c r="G338">
        <v>500</v>
      </c>
      <c r="H338" s="2">
        <f t="shared" si="5"/>
        <v>45077</v>
      </c>
    </row>
    <row r="339" spans="1:8">
      <c r="A339" s="1">
        <v>45133</v>
      </c>
      <c r="B339" t="s">
        <v>7</v>
      </c>
      <c r="C339">
        <v>54</v>
      </c>
      <c r="D339" t="s">
        <v>8</v>
      </c>
      <c r="E339">
        <v>2</v>
      </c>
      <c r="F339">
        <v>50</v>
      </c>
      <c r="G339">
        <v>100</v>
      </c>
      <c r="H339" s="2">
        <f t="shared" si="5"/>
        <v>45138</v>
      </c>
    </row>
    <row r="340" spans="1:8">
      <c r="A340" s="1">
        <v>44988</v>
      </c>
      <c r="B340" t="s">
        <v>9</v>
      </c>
      <c r="C340">
        <v>22</v>
      </c>
      <c r="D340" t="s">
        <v>11</v>
      </c>
      <c r="E340">
        <v>2</v>
      </c>
      <c r="F340">
        <v>25</v>
      </c>
      <c r="G340">
        <v>50</v>
      </c>
      <c r="H340" s="2">
        <f t="shared" si="5"/>
        <v>45016</v>
      </c>
    </row>
    <row r="341" spans="1:8">
      <c r="A341" s="1">
        <v>45218</v>
      </c>
      <c r="B341" t="s">
        <v>9</v>
      </c>
      <c r="C341">
        <v>36</v>
      </c>
      <c r="D341" t="s">
        <v>10</v>
      </c>
      <c r="E341">
        <v>4</v>
      </c>
      <c r="F341">
        <v>300</v>
      </c>
      <c r="G341">
        <v>1200</v>
      </c>
      <c r="H341" s="2">
        <f t="shared" si="5"/>
        <v>45230</v>
      </c>
    </row>
    <row r="342" spans="1:8">
      <c r="A342" s="1">
        <v>45053</v>
      </c>
      <c r="B342" t="s">
        <v>7</v>
      </c>
      <c r="C342">
        <v>31</v>
      </c>
      <c r="D342" t="s">
        <v>10</v>
      </c>
      <c r="E342">
        <v>4</v>
      </c>
      <c r="F342">
        <v>50</v>
      </c>
      <c r="G342">
        <v>200</v>
      </c>
      <c r="H342" s="2">
        <f t="shared" si="5"/>
        <v>45077</v>
      </c>
    </row>
    <row r="343" spans="1:8">
      <c r="A343" s="1">
        <v>45223</v>
      </c>
      <c r="B343" t="s">
        <v>9</v>
      </c>
      <c r="C343">
        <v>43</v>
      </c>
      <c r="D343" t="s">
        <v>10</v>
      </c>
      <c r="E343">
        <v>4</v>
      </c>
      <c r="F343">
        <v>500</v>
      </c>
      <c r="G343">
        <v>2000</v>
      </c>
      <c r="H343" s="2">
        <f t="shared" si="5"/>
        <v>45230</v>
      </c>
    </row>
    <row r="344" spans="1:8">
      <c r="A344" s="1">
        <v>45231</v>
      </c>
      <c r="B344" t="s">
        <v>7</v>
      </c>
      <c r="C344">
        <v>21</v>
      </c>
      <c r="D344" t="s">
        <v>11</v>
      </c>
      <c r="E344">
        <v>2</v>
      </c>
      <c r="F344">
        <v>25</v>
      </c>
      <c r="G344">
        <v>50</v>
      </c>
      <c r="H344" s="2">
        <f t="shared" si="5"/>
        <v>45260</v>
      </c>
    </row>
    <row r="345" spans="1:8">
      <c r="A345" s="1">
        <v>44947</v>
      </c>
      <c r="B345" t="s">
        <v>9</v>
      </c>
      <c r="C345">
        <v>42</v>
      </c>
      <c r="D345" t="s">
        <v>8</v>
      </c>
      <c r="E345">
        <v>1</v>
      </c>
      <c r="F345">
        <v>30</v>
      </c>
      <c r="G345">
        <v>30</v>
      </c>
      <c r="H345" s="2">
        <f t="shared" si="5"/>
        <v>44957</v>
      </c>
    </row>
    <row r="346" spans="1:8">
      <c r="A346" s="1">
        <v>45244</v>
      </c>
      <c r="B346" t="s">
        <v>7</v>
      </c>
      <c r="C346">
        <v>62</v>
      </c>
      <c r="D346" t="s">
        <v>11</v>
      </c>
      <c r="E346">
        <v>1</v>
      </c>
      <c r="F346">
        <v>30</v>
      </c>
      <c r="G346">
        <v>30</v>
      </c>
      <c r="H346" s="2">
        <f t="shared" si="5"/>
        <v>45260</v>
      </c>
    </row>
    <row r="347" spans="1:8">
      <c r="A347" s="1">
        <v>44968</v>
      </c>
      <c r="B347" t="s">
        <v>7</v>
      </c>
      <c r="C347">
        <v>59</v>
      </c>
      <c r="D347" t="s">
        <v>10</v>
      </c>
      <c r="E347">
        <v>2</v>
      </c>
      <c r="F347">
        <v>500</v>
      </c>
      <c r="G347">
        <v>1000</v>
      </c>
      <c r="H347" s="2">
        <f t="shared" si="5"/>
        <v>44985</v>
      </c>
    </row>
    <row r="348" spans="1:8">
      <c r="A348" s="1">
        <v>45141</v>
      </c>
      <c r="B348" t="s">
        <v>7</v>
      </c>
      <c r="C348">
        <v>42</v>
      </c>
      <c r="D348" t="s">
        <v>11</v>
      </c>
      <c r="E348">
        <v>1</v>
      </c>
      <c r="F348">
        <v>25</v>
      </c>
      <c r="G348">
        <v>25</v>
      </c>
      <c r="H348" s="2">
        <f t="shared" si="5"/>
        <v>45169</v>
      </c>
    </row>
    <row r="349" spans="1:8">
      <c r="A349" s="1">
        <v>45263</v>
      </c>
      <c r="B349" t="s">
        <v>9</v>
      </c>
      <c r="C349">
        <v>35</v>
      </c>
      <c r="D349" t="s">
        <v>11</v>
      </c>
      <c r="E349">
        <v>2</v>
      </c>
      <c r="F349">
        <v>300</v>
      </c>
      <c r="G349">
        <v>600</v>
      </c>
      <c r="H349" s="2">
        <f t="shared" si="5"/>
        <v>45291</v>
      </c>
    </row>
    <row r="350" spans="1:8">
      <c r="A350" s="1">
        <v>45225</v>
      </c>
      <c r="B350" t="s">
        <v>9</v>
      </c>
      <c r="C350">
        <v>57</v>
      </c>
      <c r="D350" t="s">
        <v>8</v>
      </c>
      <c r="E350">
        <v>1</v>
      </c>
      <c r="F350">
        <v>50</v>
      </c>
      <c r="G350">
        <v>50</v>
      </c>
      <c r="H350" s="2">
        <f t="shared" si="5"/>
        <v>45230</v>
      </c>
    </row>
    <row r="351" spans="1:8">
      <c r="A351" s="1">
        <v>45216</v>
      </c>
      <c r="B351" t="s">
        <v>7</v>
      </c>
      <c r="C351">
        <v>25</v>
      </c>
      <c r="D351" t="s">
        <v>8</v>
      </c>
      <c r="E351">
        <v>3</v>
      </c>
      <c r="F351">
        <v>25</v>
      </c>
      <c r="G351">
        <v>75</v>
      </c>
      <c r="H351" s="2">
        <f t="shared" si="5"/>
        <v>45230</v>
      </c>
    </row>
    <row r="352" spans="1:8">
      <c r="A352" s="1">
        <v>45194</v>
      </c>
      <c r="B352" t="s">
        <v>9</v>
      </c>
      <c r="C352">
        <v>56</v>
      </c>
      <c r="D352" t="s">
        <v>10</v>
      </c>
      <c r="E352">
        <v>3</v>
      </c>
      <c r="F352">
        <v>30</v>
      </c>
      <c r="G352">
        <v>90</v>
      </c>
      <c r="H352" s="2">
        <f t="shared" si="5"/>
        <v>45199</v>
      </c>
    </row>
    <row r="353" spans="1:8">
      <c r="A353" s="1">
        <v>45088</v>
      </c>
      <c r="B353" t="s">
        <v>7</v>
      </c>
      <c r="C353">
        <v>57</v>
      </c>
      <c r="D353" t="s">
        <v>11</v>
      </c>
      <c r="E353">
        <v>2</v>
      </c>
      <c r="F353">
        <v>500</v>
      </c>
      <c r="G353">
        <v>1000</v>
      </c>
      <c r="H353" s="2">
        <f t="shared" si="5"/>
        <v>45107</v>
      </c>
    </row>
    <row r="354" spans="1:8">
      <c r="A354" s="1">
        <v>45060</v>
      </c>
      <c r="B354" t="s">
        <v>7</v>
      </c>
      <c r="C354">
        <v>31</v>
      </c>
      <c r="D354" t="s">
        <v>11</v>
      </c>
      <c r="E354">
        <v>1</v>
      </c>
      <c r="F354">
        <v>500</v>
      </c>
      <c r="G354">
        <v>500</v>
      </c>
      <c r="H354" s="2">
        <f t="shared" si="5"/>
        <v>45077</v>
      </c>
    </row>
    <row r="355" spans="1:8">
      <c r="A355" s="1">
        <v>45031</v>
      </c>
      <c r="B355" t="s">
        <v>9</v>
      </c>
      <c r="C355">
        <v>49</v>
      </c>
      <c r="D355" t="s">
        <v>8</v>
      </c>
      <c r="E355">
        <v>4</v>
      </c>
      <c r="F355">
        <v>50</v>
      </c>
      <c r="G355">
        <v>200</v>
      </c>
      <c r="H355" s="2">
        <f t="shared" si="5"/>
        <v>45046</v>
      </c>
    </row>
    <row r="356" spans="1:8">
      <c r="A356" s="1">
        <v>45269</v>
      </c>
      <c r="B356" t="s">
        <v>9</v>
      </c>
      <c r="C356">
        <v>55</v>
      </c>
      <c r="D356" t="s">
        <v>11</v>
      </c>
      <c r="E356">
        <v>1</v>
      </c>
      <c r="F356">
        <v>500</v>
      </c>
      <c r="G356">
        <v>500</v>
      </c>
      <c r="H356" s="2">
        <f t="shared" si="5"/>
        <v>45291</v>
      </c>
    </row>
    <row r="357" spans="1:8">
      <c r="A357" s="1">
        <v>45087</v>
      </c>
      <c r="B357" t="s">
        <v>7</v>
      </c>
      <c r="C357">
        <v>50</v>
      </c>
      <c r="D357" t="s">
        <v>11</v>
      </c>
      <c r="E357">
        <v>3</v>
      </c>
      <c r="F357">
        <v>500</v>
      </c>
      <c r="G357">
        <v>1500</v>
      </c>
      <c r="H357" s="2">
        <f t="shared" si="5"/>
        <v>45107</v>
      </c>
    </row>
    <row r="358" spans="1:8">
      <c r="A358" s="1">
        <v>45049</v>
      </c>
      <c r="B358" t="s">
        <v>9</v>
      </c>
      <c r="C358">
        <v>40</v>
      </c>
      <c r="D358" t="s">
        <v>11</v>
      </c>
      <c r="E358">
        <v>3</v>
      </c>
      <c r="F358">
        <v>25</v>
      </c>
      <c r="G358">
        <v>75</v>
      </c>
      <c r="H358" s="2">
        <f t="shared" si="5"/>
        <v>45077</v>
      </c>
    </row>
    <row r="359" spans="1:8">
      <c r="A359" s="1">
        <v>45062</v>
      </c>
      <c r="B359" t="s">
        <v>9</v>
      </c>
      <c r="C359">
        <v>32</v>
      </c>
      <c r="D359" t="s">
        <v>8</v>
      </c>
      <c r="E359">
        <v>1</v>
      </c>
      <c r="F359">
        <v>300</v>
      </c>
      <c r="G359">
        <v>300</v>
      </c>
      <c r="H359" s="2">
        <f t="shared" si="5"/>
        <v>45077</v>
      </c>
    </row>
    <row r="360" spans="1:8">
      <c r="A360" s="1">
        <v>45129</v>
      </c>
      <c r="B360" t="s">
        <v>7</v>
      </c>
      <c r="C360">
        <v>50</v>
      </c>
      <c r="D360" t="s">
        <v>10</v>
      </c>
      <c r="E360">
        <v>1</v>
      </c>
      <c r="F360">
        <v>50</v>
      </c>
      <c r="G360">
        <v>50</v>
      </c>
      <c r="H360" s="2">
        <f t="shared" si="5"/>
        <v>45138</v>
      </c>
    </row>
    <row r="361" spans="1:8">
      <c r="A361" s="1">
        <v>44994</v>
      </c>
      <c r="B361" t="s">
        <v>7</v>
      </c>
      <c r="C361">
        <v>42</v>
      </c>
      <c r="D361" t="s">
        <v>10</v>
      </c>
      <c r="E361">
        <v>4</v>
      </c>
      <c r="F361">
        <v>25</v>
      </c>
      <c r="G361">
        <v>100</v>
      </c>
      <c r="H361" s="2">
        <f t="shared" si="5"/>
        <v>45016</v>
      </c>
    </row>
    <row r="362" spans="1:8">
      <c r="A362" s="1">
        <v>45270</v>
      </c>
      <c r="B362" t="s">
        <v>9</v>
      </c>
      <c r="C362">
        <v>34</v>
      </c>
      <c r="D362" t="s">
        <v>11</v>
      </c>
      <c r="E362">
        <v>4</v>
      </c>
      <c r="F362">
        <v>300</v>
      </c>
      <c r="G362">
        <v>1200</v>
      </c>
      <c r="H362" s="2">
        <f t="shared" si="5"/>
        <v>45291</v>
      </c>
    </row>
    <row r="363" spans="1:8">
      <c r="A363" s="1">
        <v>45257</v>
      </c>
      <c r="B363" t="s">
        <v>7</v>
      </c>
      <c r="C363">
        <v>50</v>
      </c>
      <c r="D363" t="s">
        <v>10</v>
      </c>
      <c r="E363">
        <v>1</v>
      </c>
      <c r="F363">
        <v>25</v>
      </c>
      <c r="G363">
        <v>25</v>
      </c>
      <c r="H363" s="2">
        <f t="shared" si="5"/>
        <v>45260</v>
      </c>
    </row>
    <row r="364" spans="1:8">
      <c r="A364" s="1">
        <v>45080</v>
      </c>
      <c r="B364" t="s">
        <v>7</v>
      </c>
      <c r="C364">
        <v>64</v>
      </c>
      <c r="D364" t="s">
        <v>8</v>
      </c>
      <c r="E364">
        <v>1</v>
      </c>
      <c r="F364">
        <v>25</v>
      </c>
      <c r="G364">
        <v>25</v>
      </c>
      <c r="H364" s="2">
        <f t="shared" si="5"/>
        <v>45107</v>
      </c>
    </row>
    <row r="365" spans="1:8">
      <c r="A365" s="1">
        <v>45161</v>
      </c>
      <c r="B365" t="s">
        <v>9</v>
      </c>
      <c r="C365">
        <v>19</v>
      </c>
      <c r="D365" t="s">
        <v>8</v>
      </c>
      <c r="E365">
        <v>1</v>
      </c>
      <c r="F365">
        <v>500</v>
      </c>
      <c r="G365">
        <v>500</v>
      </c>
      <c r="H365" s="2">
        <f t="shared" si="5"/>
        <v>45169</v>
      </c>
    </row>
    <row r="366" spans="1:8">
      <c r="A366" s="1">
        <v>45088</v>
      </c>
      <c r="B366" t="s">
        <v>7</v>
      </c>
      <c r="C366">
        <v>31</v>
      </c>
      <c r="D366" t="s">
        <v>10</v>
      </c>
      <c r="E366">
        <v>1</v>
      </c>
      <c r="F366">
        <v>300</v>
      </c>
      <c r="G366">
        <v>300</v>
      </c>
      <c r="H366" s="2">
        <f t="shared" si="5"/>
        <v>45107</v>
      </c>
    </row>
    <row r="367" spans="1:8">
      <c r="A367" s="1">
        <v>44964</v>
      </c>
      <c r="B367" t="s">
        <v>7</v>
      </c>
      <c r="C367">
        <v>57</v>
      </c>
      <c r="D367" t="s">
        <v>10</v>
      </c>
      <c r="E367">
        <v>2</v>
      </c>
      <c r="F367">
        <v>50</v>
      </c>
      <c r="G367">
        <v>100</v>
      </c>
      <c r="H367" s="2">
        <f t="shared" si="5"/>
        <v>44985</v>
      </c>
    </row>
    <row r="368" spans="1:8">
      <c r="A368" s="1">
        <v>44931</v>
      </c>
      <c r="B368" t="s">
        <v>9</v>
      </c>
      <c r="C368">
        <v>57</v>
      </c>
      <c r="D368" t="s">
        <v>11</v>
      </c>
      <c r="E368">
        <v>1</v>
      </c>
      <c r="F368">
        <v>50</v>
      </c>
      <c r="G368">
        <v>50</v>
      </c>
      <c r="H368" s="2">
        <f t="shared" si="5"/>
        <v>44957</v>
      </c>
    </row>
    <row r="369" spans="1:8">
      <c r="A369" s="1">
        <v>45161</v>
      </c>
      <c r="B369" t="s">
        <v>9</v>
      </c>
      <c r="C369">
        <v>56</v>
      </c>
      <c r="D369" t="s">
        <v>10</v>
      </c>
      <c r="E369">
        <v>4</v>
      </c>
      <c r="F369">
        <v>300</v>
      </c>
      <c r="G369">
        <v>1200</v>
      </c>
      <c r="H369" s="2">
        <f t="shared" si="5"/>
        <v>45169</v>
      </c>
    </row>
    <row r="370" spans="1:8">
      <c r="A370" s="1">
        <v>45245</v>
      </c>
      <c r="B370" t="s">
        <v>7</v>
      </c>
      <c r="C370">
        <v>23</v>
      </c>
      <c r="D370" t="s">
        <v>11</v>
      </c>
      <c r="E370">
        <v>3</v>
      </c>
      <c r="F370">
        <v>500</v>
      </c>
      <c r="G370">
        <v>1500</v>
      </c>
      <c r="H370" s="2">
        <f t="shared" si="5"/>
        <v>45260</v>
      </c>
    </row>
    <row r="371" spans="1:8">
      <c r="A371" s="1">
        <v>45215</v>
      </c>
      <c r="B371" t="s">
        <v>7</v>
      </c>
      <c r="C371">
        <v>23</v>
      </c>
      <c r="D371" t="s">
        <v>11</v>
      </c>
      <c r="E371">
        <v>2</v>
      </c>
      <c r="F371">
        <v>30</v>
      </c>
      <c r="G371">
        <v>60</v>
      </c>
      <c r="H371" s="2">
        <f t="shared" si="5"/>
        <v>45230</v>
      </c>
    </row>
    <row r="372" spans="1:8">
      <c r="A372" s="1">
        <v>44978</v>
      </c>
      <c r="B372" t="s">
        <v>9</v>
      </c>
      <c r="C372">
        <v>20</v>
      </c>
      <c r="D372" t="s">
        <v>8</v>
      </c>
      <c r="E372">
        <v>1</v>
      </c>
      <c r="F372">
        <v>25</v>
      </c>
      <c r="G372">
        <v>25</v>
      </c>
      <c r="H372" s="2">
        <f t="shared" si="5"/>
        <v>44985</v>
      </c>
    </row>
    <row r="373" spans="1:8">
      <c r="A373" s="1">
        <v>44964</v>
      </c>
      <c r="B373" t="s">
        <v>9</v>
      </c>
      <c r="C373">
        <v>24</v>
      </c>
      <c r="D373" t="s">
        <v>8</v>
      </c>
      <c r="E373">
        <v>3</v>
      </c>
      <c r="F373">
        <v>500</v>
      </c>
      <c r="G373">
        <v>1500</v>
      </c>
      <c r="H373" s="2">
        <f t="shared" si="5"/>
        <v>44985</v>
      </c>
    </row>
    <row r="374" spans="1:8">
      <c r="A374" s="1">
        <v>45202</v>
      </c>
      <c r="B374" t="s">
        <v>9</v>
      </c>
      <c r="C374">
        <v>25</v>
      </c>
      <c r="D374" t="s">
        <v>8</v>
      </c>
      <c r="E374">
        <v>2</v>
      </c>
      <c r="F374">
        <v>300</v>
      </c>
      <c r="G374">
        <v>600</v>
      </c>
      <c r="H374" s="2">
        <f t="shared" si="5"/>
        <v>45230</v>
      </c>
    </row>
    <row r="375" spans="1:8">
      <c r="A375" s="1">
        <v>45036</v>
      </c>
      <c r="B375" t="s">
        <v>9</v>
      </c>
      <c r="C375">
        <v>59</v>
      </c>
      <c r="D375" t="s">
        <v>8</v>
      </c>
      <c r="E375">
        <v>3</v>
      </c>
      <c r="F375">
        <v>25</v>
      </c>
      <c r="G375">
        <v>75</v>
      </c>
      <c r="H375" s="2">
        <f t="shared" si="5"/>
        <v>45046</v>
      </c>
    </row>
    <row r="376" spans="1:8">
      <c r="A376" s="1">
        <v>45186</v>
      </c>
      <c r="B376" t="s">
        <v>7</v>
      </c>
      <c r="C376">
        <v>32</v>
      </c>
      <c r="D376" t="s">
        <v>10</v>
      </c>
      <c r="E376">
        <v>1</v>
      </c>
      <c r="F376">
        <v>50</v>
      </c>
      <c r="G376">
        <v>50</v>
      </c>
      <c r="H376" s="2">
        <f t="shared" si="5"/>
        <v>45199</v>
      </c>
    </row>
    <row r="377" spans="1:8">
      <c r="A377" s="1">
        <v>45062</v>
      </c>
      <c r="B377" t="s">
        <v>9</v>
      </c>
      <c r="C377">
        <v>64</v>
      </c>
      <c r="D377" t="s">
        <v>8</v>
      </c>
      <c r="E377">
        <v>1</v>
      </c>
      <c r="F377">
        <v>30</v>
      </c>
      <c r="G377">
        <v>30</v>
      </c>
      <c r="H377" s="2">
        <f t="shared" si="5"/>
        <v>45077</v>
      </c>
    </row>
    <row r="378" spans="1:8">
      <c r="A378" s="1">
        <v>44994</v>
      </c>
      <c r="B378" t="s">
        <v>9</v>
      </c>
      <c r="C378">
        <v>46</v>
      </c>
      <c r="D378" t="s">
        <v>10</v>
      </c>
      <c r="E378">
        <v>4</v>
      </c>
      <c r="F378">
        <v>50</v>
      </c>
      <c r="G378">
        <v>200</v>
      </c>
      <c r="H378" s="2">
        <f t="shared" si="5"/>
        <v>45016</v>
      </c>
    </row>
    <row r="379" spans="1:8">
      <c r="A379" s="1">
        <v>45105</v>
      </c>
      <c r="B379" t="s">
        <v>7</v>
      </c>
      <c r="C379">
        <v>50</v>
      </c>
      <c r="D379" t="s">
        <v>8</v>
      </c>
      <c r="E379">
        <v>1</v>
      </c>
      <c r="F379">
        <v>300</v>
      </c>
      <c r="G379">
        <v>300</v>
      </c>
      <c r="H379" s="2">
        <f t="shared" si="5"/>
        <v>45107</v>
      </c>
    </row>
    <row r="380" spans="1:8">
      <c r="A380" s="1">
        <v>44962</v>
      </c>
      <c r="B380" t="s">
        <v>9</v>
      </c>
      <c r="C380">
        <v>47</v>
      </c>
      <c r="D380" t="s">
        <v>10</v>
      </c>
      <c r="E380">
        <v>1</v>
      </c>
      <c r="F380">
        <v>25</v>
      </c>
      <c r="G380">
        <v>25</v>
      </c>
      <c r="H380" s="2">
        <f t="shared" si="5"/>
        <v>44985</v>
      </c>
    </row>
    <row r="381" spans="1:8">
      <c r="A381" s="1">
        <v>45052</v>
      </c>
      <c r="B381" t="s">
        <v>7</v>
      </c>
      <c r="C381">
        <v>56</v>
      </c>
      <c r="D381" t="s">
        <v>11</v>
      </c>
      <c r="E381">
        <v>2</v>
      </c>
      <c r="F381">
        <v>300</v>
      </c>
      <c r="G381">
        <v>600</v>
      </c>
      <c r="H381" s="2">
        <f t="shared" si="5"/>
        <v>45077</v>
      </c>
    </row>
    <row r="382" spans="1:8">
      <c r="A382" s="1">
        <v>45116</v>
      </c>
      <c r="B382" t="s">
        <v>9</v>
      </c>
      <c r="C382">
        <v>44</v>
      </c>
      <c r="D382" t="s">
        <v>10</v>
      </c>
      <c r="E382">
        <v>4</v>
      </c>
      <c r="F382">
        <v>25</v>
      </c>
      <c r="G382">
        <v>100</v>
      </c>
      <c r="H382" s="2">
        <f t="shared" si="5"/>
        <v>45138</v>
      </c>
    </row>
    <row r="383" spans="1:8">
      <c r="A383" s="1">
        <v>45072</v>
      </c>
      <c r="B383" t="s">
        <v>9</v>
      </c>
      <c r="C383">
        <v>53</v>
      </c>
      <c r="D383" t="s">
        <v>10</v>
      </c>
      <c r="E383">
        <v>2</v>
      </c>
      <c r="F383">
        <v>500</v>
      </c>
      <c r="G383">
        <v>1000</v>
      </c>
      <c r="H383" s="2">
        <f t="shared" si="5"/>
        <v>45077</v>
      </c>
    </row>
    <row r="384" spans="1:8">
      <c r="A384" s="1">
        <v>45007</v>
      </c>
      <c r="B384" t="s">
        <v>9</v>
      </c>
      <c r="C384">
        <v>46</v>
      </c>
      <c r="D384" t="s">
        <v>8</v>
      </c>
      <c r="E384">
        <v>3</v>
      </c>
      <c r="F384">
        <v>30</v>
      </c>
      <c r="G384">
        <v>90</v>
      </c>
      <c r="H384" s="2">
        <f t="shared" si="5"/>
        <v>45016</v>
      </c>
    </row>
    <row r="385" spans="1:8">
      <c r="A385" s="1">
        <v>45151</v>
      </c>
      <c r="B385" t="s">
        <v>7</v>
      </c>
      <c r="C385">
        <v>55</v>
      </c>
      <c r="D385" t="s">
        <v>10</v>
      </c>
      <c r="E385">
        <v>1</v>
      </c>
      <c r="F385">
        <v>500</v>
      </c>
      <c r="G385">
        <v>500</v>
      </c>
      <c r="H385" s="2">
        <f t="shared" si="5"/>
        <v>45169</v>
      </c>
    </row>
    <row r="386" spans="1:8">
      <c r="A386" s="1">
        <v>45205</v>
      </c>
      <c r="B386" t="s">
        <v>7</v>
      </c>
      <c r="C386">
        <v>50</v>
      </c>
      <c r="D386" t="s">
        <v>11</v>
      </c>
      <c r="E386">
        <v>3</v>
      </c>
      <c r="F386">
        <v>500</v>
      </c>
      <c r="G386">
        <v>1500</v>
      </c>
      <c r="H386" s="2">
        <f t="shared" si="5"/>
        <v>45230</v>
      </c>
    </row>
    <row r="387" spans="1:8">
      <c r="A387" s="1">
        <v>45287</v>
      </c>
      <c r="B387" t="s">
        <v>9</v>
      </c>
      <c r="C387">
        <v>54</v>
      </c>
      <c r="D387" t="s">
        <v>11</v>
      </c>
      <c r="E387">
        <v>2</v>
      </c>
      <c r="F387">
        <v>300</v>
      </c>
      <c r="G387">
        <v>600</v>
      </c>
      <c r="H387" s="2">
        <f t="shared" ref="H387:H450" si="6">EOMONTH(A387,0)</f>
        <v>45291</v>
      </c>
    </row>
    <row r="388" spans="1:8">
      <c r="A388" s="1">
        <v>45081</v>
      </c>
      <c r="B388" t="s">
        <v>7</v>
      </c>
      <c r="C388">
        <v>44</v>
      </c>
      <c r="D388" t="s">
        <v>8</v>
      </c>
      <c r="E388">
        <v>1</v>
      </c>
      <c r="F388">
        <v>30</v>
      </c>
      <c r="G388">
        <v>30</v>
      </c>
      <c r="H388" s="2">
        <f t="shared" si="6"/>
        <v>45107</v>
      </c>
    </row>
    <row r="389" spans="1:8">
      <c r="A389" s="1">
        <v>45240</v>
      </c>
      <c r="B389" t="s">
        <v>7</v>
      </c>
      <c r="C389">
        <v>50</v>
      </c>
      <c r="D389" t="s">
        <v>11</v>
      </c>
      <c r="E389">
        <v>1</v>
      </c>
      <c r="F389">
        <v>25</v>
      </c>
      <c r="G389">
        <v>25</v>
      </c>
      <c r="H389" s="2">
        <f t="shared" si="6"/>
        <v>45260</v>
      </c>
    </row>
    <row r="390" spans="1:8">
      <c r="A390" s="1">
        <v>45261</v>
      </c>
      <c r="B390" t="s">
        <v>7</v>
      </c>
      <c r="C390">
        <v>21</v>
      </c>
      <c r="D390" t="s">
        <v>10</v>
      </c>
      <c r="E390">
        <v>2</v>
      </c>
      <c r="F390">
        <v>25</v>
      </c>
      <c r="G390">
        <v>50</v>
      </c>
      <c r="H390" s="2">
        <f t="shared" si="6"/>
        <v>45291</v>
      </c>
    </row>
    <row r="391" spans="1:8">
      <c r="A391" s="1">
        <v>45197</v>
      </c>
      <c r="B391" t="s">
        <v>7</v>
      </c>
      <c r="C391">
        <v>39</v>
      </c>
      <c r="D391" t="s">
        <v>11</v>
      </c>
      <c r="E391">
        <v>2</v>
      </c>
      <c r="F391">
        <v>50</v>
      </c>
      <c r="G391">
        <v>100</v>
      </c>
      <c r="H391" s="2">
        <f t="shared" si="6"/>
        <v>45199</v>
      </c>
    </row>
    <row r="392" spans="1:8">
      <c r="A392" s="1">
        <v>44931</v>
      </c>
      <c r="B392" t="s">
        <v>7</v>
      </c>
      <c r="C392">
        <v>19</v>
      </c>
      <c r="D392" t="s">
        <v>8</v>
      </c>
      <c r="E392">
        <v>2</v>
      </c>
      <c r="F392">
        <v>25</v>
      </c>
      <c r="G392">
        <v>50</v>
      </c>
      <c r="H392" s="2">
        <f t="shared" si="6"/>
        <v>44957</v>
      </c>
    </row>
    <row r="393" spans="1:8">
      <c r="A393" s="1">
        <v>45268</v>
      </c>
      <c r="B393" t="s">
        <v>7</v>
      </c>
      <c r="C393">
        <v>27</v>
      </c>
      <c r="D393" t="s">
        <v>10</v>
      </c>
      <c r="E393">
        <v>2</v>
      </c>
      <c r="F393">
        <v>300</v>
      </c>
      <c r="G393">
        <v>600</v>
      </c>
      <c r="H393" s="2">
        <f t="shared" si="6"/>
        <v>45291</v>
      </c>
    </row>
    <row r="394" spans="1:8">
      <c r="A394" s="1">
        <v>45210</v>
      </c>
      <c r="B394" t="s">
        <v>9</v>
      </c>
      <c r="C394">
        <v>22</v>
      </c>
      <c r="D394" t="s">
        <v>8</v>
      </c>
      <c r="E394">
        <v>2</v>
      </c>
      <c r="F394">
        <v>500</v>
      </c>
      <c r="G394">
        <v>1000</v>
      </c>
      <c r="H394" s="2">
        <f t="shared" si="6"/>
        <v>45230</v>
      </c>
    </row>
    <row r="395" spans="1:8">
      <c r="A395" s="1">
        <v>45080</v>
      </c>
      <c r="B395" t="s">
        <v>9</v>
      </c>
      <c r="C395">
        <v>27</v>
      </c>
      <c r="D395" t="s">
        <v>10</v>
      </c>
      <c r="E395">
        <v>1</v>
      </c>
      <c r="F395">
        <v>500</v>
      </c>
      <c r="G395">
        <v>500</v>
      </c>
      <c r="H395" s="2">
        <f t="shared" si="6"/>
        <v>45107</v>
      </c>
    </row>
    <row r="396" spans="1:8">
      <c r="A396" s="1">
        <v>45266</v>
      </c>
      <c r="B396" t="s">
        <v>7</v>
      </c>
      <c r="C396">
        <v>50</v>
      </c>
      <c r="D396" t="s">
        <v>11</v>
      </c>
      <c r="E396">
        <v>2</v>
      </c>
      <c r="F396">
        <v>500</v>
      </c>
      <c r="G396">
        <v>1000</v>
      </c>
      <c r="H396" s="2">
        <f t="shared" si="6"/>
        <v>45291</v>
      </c>
    </row>
    <row r="397" spans="1:8">
      <c r="A397" s="1">
        <v>44980</v>
      </c>
      <c r="B397" t="s">
        <v>9</v>
      </c>
      <c r="C397">
        <v>55</v>
      </c>
      <c r="D397" t="s">
        <v>8</v>
      </c>
      <c r="E397">
        <v>1</v>
      </c>
      <c r="F397">
        <v>30</v>
      </c>
      <c r="G397">
        <v>30</v>
      </c>
      <c r="H397" s="2">
        <f t="shared" si="6"/>
        <v>44985</v>
      </c>
    </row>
    <row r="398" spans="1:8">
      <c r="A398" s="1">
        <v>44995</v>
      </c>
      <c r="B398" t="s">
        <v>9</v>
      </c>
      <c r="C398">
        <v>30</v>
      </c>
      <c r="D398" t="s">
        <v>8</v>
      </c>
      <c r="E398">
        <v>1</v>
      </c>
      <c r="F398">
        <v>25</v>
      </c>
      <c r="G398">
        <v>25</v>
      </c>
      <c r="H398" s="2">
        <f t="shared" si="6"/>
        <v>45016</v>
      </c>
    </row>
    <row r="399" spans="1:8">
      <c r="A399" s="1">
        <v>45062</v>
      </c>
      <c r="B399" t="s">
        <v>9</v>
      </c>
      <c r="C399">
        <v>48</v>
      </c>
      <c r="D399" t="s">
        <v>10</v>
      </c>
      <c r="E399">
        <v>2</v>
      </c>
      <c r="F399">
        <v>300</v>
      </c>
      <c r="G399">
        <v>600</v>
      </c>
      <c r="H399" s="2">
        <f t="shared" si="6"/>
        <v>45077</v>
      </c>
    </row>
    <row r="400" spans="1:8">
      <c r="A400" s="1">
        <v>44986</v>
      </c>
      <c r="B400" t="s">
        <v>9</v>
      </c>
      <c r="C400">
        <v>64</v>
      </c>
      <c r="D400" t="s">
        <v>8</v>
      </c>
      <c r="E400">
        <v>2</v>
      </c>
      <c r="F400">
        <v>30</v>
      </c>
      <c r="G400">
        <v>60</v>
      </c>
      <c r="H400" s="2">
        <f t="shared" si="6"/>
        <v>45016</v>
      </c>
    </row>
    <row r="401" spans="1:8">
      <c r="A401" s="1">
        <v>44981</v>
      </c>
      <c r="B401" t="s">
        <v>7</v>
      </c>
      <c r="C401">
        <v>53</v>
      </c>
      <c r="D401" t="s">
        <v>10</v>
      </c>
      <c r="E401">
        <v>4</v>
      </c>
      <c r="F401">
        <v>50</v>
      </c>
      <c r="G401">
        <v>200</v>
      </c>
      <c r="H401" s="2">
        <f t="shared" si="6"/>
        <v>44985</v>
      </c>
    </row>
    <row r="402" spans="1:8">
      <c r="A402" s="1">
        <v>45210</v>
      </c>
      <c r="B402" t="s">
        <v>9</v>
      </c>
      <c r="C402">
        <v>62</v>
      </c>
      <c r="D402" t="s">
        <v>10</v>
      </c>
      <c r="E402">
        <v>1</v>
      </c>
      <c r="F402">
        <v>300</v>
      </c>
      <c r="G402">
        <v>300</v>
      </c>
      <c r="H402" s="2">
        <f t="shared" si="6"/>
        <v>45230</v>
      </c>
    </row>
    <row r="403" spans="1:8">
      <c r="A403" s="1">
        <v>45006</v>
      </c>
      <c r="B403" t="s">
        <v>9</v>
      </c>
      <c r="C403">
        <v>41</v>
      </c>
      <c r="D403" t="s">
        <v>10</v>
      </c>
      <c r="E403">
        <v>2</v>
      </c>
      <c r="F403">
        <v>300</v>
      </c>
      <c r="G403">
        <v>600</v>
      </c>
      <c r="H403" s="2">
        <f t="shared" si="6"/>
        <v>45016</v>
      </c>
    </row>
    <row r="404" spans="1:8">
      <c r="A404" s="1">
        <v>45066</v>
      </c>
      <c r="B404" t="s">
        <v>7</v>
      </c>
      <c r="C404">
        <v>32</v>
      </c>
      <c r="D404" t="s">
        <v>10</v>
      </c>
      <c r="E404">
        <v>2</v>
      </c>
      <c r="F404">
        <v>300</v>
      </c>
      <c r="G404">
        <v>600</v>
      </c>
      <c r="H404" s="2">
        <f t="shared" si="6"/>
        <v>45077</v>
      </c>
    </row>
    <row r="405" spans="1:8">
      <c r="A405" s="1">
        <v>45071</v>
      </c>
      <c r="B405" t="s">
        <v>7</v>
      </c>
      <c r="C405">
        <v>46</v>
      </c>
      <c r="D405" t="s">
        <v>11</v>
      </c>
      <c r="E405">
        <v>2</v>
      </c>
      <c r="F405">
        <v>500</v>
      </c>
      <c r="G405">
        <v>1000</v>
      </c>
      <c r="H405" s="2">
        <f t="shared" si="6"/>
        <v>45077</v>
      </c>
    </row>
    <row r="406" spans="1:8">
      <c r="A406" s="1">
        <v>45236</v>
      </c>
      <c r="B406" t="s">
        <v>9</v>
      </c>
      <c r="C406">
        <v>25</v>
      </c>
      <c r="D406" t="s">
        <v>10</v>
      </c>
      <c r="E406">
        <v>4</v>
      </c>
      <c r="F406">
        <v>300</v>
      </c>
      <c r="G406">
        <v>1200</v>
      </c>
      <c r="H406" s="2">
        <f t="shared" si="6"/>
        <v>45260</v>
      </c>
    </row>
    <row r="407" spans="1:8">
      <c r="A407" s="1">
        <v>45034</v>
      </c>
      <c r="B407" t="s">
        <v>9</v>
      </c>
      <c r="C407">
        <v>22</v>
      </c>
      <c r="D407" t="s">
        <v>8</v>
      </c>
      <c r="E407">
        <v>4</v>
      </c>
      <c r="F407">
        <v>25</v>
      </c>
      <c r="G407">
        <v>100</v>
      </c>
      <c r="H407" s="2">
        <f t="shared" si="6"/>
        <v>45046</v>
      </c>
    </row>
    <row r="408" spans="1:8">
      <c r="A408" s="1">
        <v>45102</v>
      </c>
      <c r="B408" t="s">
        <v>9</v>
      </c>
      <c r="C408">
        <v>46</v>
      </c>
      <c r="D408" t="s">
        <v>11</v>
      </c>
      <c r="E408">
        <v>3</v>
      </c>
      <c r="F408">
        <v>300</v>
      </c>
      <c r="G408">
        <v>900</v>
      </c>
      <c r="H408" s="2">
        <f t="shared" si="6"/>
        <v>45107</v>
      </c>
    </row>
    <row r="409" spans="1:8">
      <c r="A409" s="1">
        <v>45031</v>
      </c>
      <c r="B409" t="s">
        <v>9</v>
      </c>
      <c r="C409">
        <v>64</v>
      </c>
      <c r="D409" t="s">
        <v>8</v>
      </c>
      <c r="E409">
        <v>1</v>
      </c>
      <c r="F409">
        <v>500</v>
      </c>
      <c r="G409">
        <v>500</v>
      </c>
      <c r="H409" s="2">
        <f t="shared" si="6"/>
        <v>45046</v>
      </c>
    </row>
    <row r="410" spans="1:8">
      <c r="A410" s="1">
        <v>45278</v>
      </c>
      <c r="B410" t="s">
        <v>9</v>
      </c>
      <c r="C410">
        <v>21</v>
      </c>
      <c r="D410" t="s">
        <v>11</v>
      </c>
      <c r="E410">
        <v>3</v>
      </c>
      <c r="F410">
        <v>300</v>
      </c>
      <c r="G410">
        <v>900</v>
      </c>
      <c r="H410" s="2">
        <f t="shared" si="6"/>
        <v>45291</v>
      </c>
    </row>
    <row r="411" spans="1:8">
      <c r="A411" s="1">
        <v>45251</v>
      </c>
      <c r="B411" t="s">
        <v>9</v>
      </c>
      <c r="C411">
        <v>29</v>
      </c>
      <c r="D411" t="s">
        <v>10</v>
      </c>
      <c r="E411">
        <v>2</v>
      </c>
      <c r="F411">
        <v>50</v>
      </c>
      <c r="G411">
        <v>100</v>
      </c>
      <c r="H411" s="2">
        <f t="shared" si="6"/>
        <v>45260</v>
      </c>
    </row>
    <row r="412" spans="1:8">
      <c r="A412" s="1">
        <v>45062</v>
      </c>
      <c r="B412" t="s">
        <v>7</v>
      </c>
      <c r="C412">
        <v>62</v>
      </c>
      <c r="D412" t="s">
        <v>11</v>
      </c>
      <c r="E412">
        <v>4</v>
      </c>
      <c r="F412">
        <v>50</v>
      </c>
      <c r="G412">
        <v>200</v>
      </c>
      <c r="H412" s="2">
        <f t="shared" si="6"/>
        <v>45077</v>
      </c>
    </row>
    <row r="413" spans="1:8">
      <c r="A413" s="1">
        <v>45185</v>
      </c>
      <c r="B413" t="s">
        <v>9</v>
      </c>
      <c r="C413">
        <v>19</v>
      </c>
      <c r="D413" t="s">
        <v>11</v>
      </c>
      <c r="E413">
        <v>4</v>
      </c>
      <c r="F413">
        <v>500</v>
      </c>
      <c r="G413">
        <v>2000</v>
      </c>
      <c r="H413" s="2">
        <f t="shared" si="6"/>
        <v>45199</v>
      </c>
    </row>
    <row r="414" spans="1:8">
      <c r="A414" s="1">
        <v>45177</v>
      </c>
      <c r="B414" t="s">
        <v>9</v>
      </c>
      <c r="C414">
        <v>44</v>
      </c>
      <c r="D414" t="s">
        <v>8</v>
      </c>
      <c r="E414">
        <v>3</v>
      </c>
      <c r="F414">
        <v>25</v>
      </c>
      <c r="G414">
        <v>75</v>
      </c>
      <c r="H414" s="2">
        <f t="shared" si="6"/>
        <v>45199</v>
      </c>
    </row>
    <row r="415" spans="1:8">
      <c r="A415" s="1">
        <v>45055</v>
      </c>
      <c r="B415" t="s">
        <v>7</v>
      </c>
      <c r="C415">
        <v>48</v>
      </c>
      <c r="D415" t="s">
        <v>8</v>
      </c>
      <c r="E415">
        <v>4</v>
      </c>
      <c r="F415">
        <v>25</v>
      </c>
      <c r="G415">
        <v>100</v>
      </c>
      <c r="H415" s="2">
        <f t="shared" si="6"/>
        <v>45077</v>
      </c>
    </row>
    <row r="416" spans="1:8">
      <c r="A416" s="1">
        <v>44953</v>
      </c>
      <c r="B416" t="s">
        <v>7</v>
      </c>
      <c r="C416">
        <v>53</v>
      </c>
      <c r="D416" t="s">
        <v>10</v>
      </c>
      <c r="E416">
        <v>2</v>
      </c>
      <c r="F416">
        <v>30</v>
      </c>
      <c r="G416">
        <v>60</v>
      </c>
      <c r="H416" s="2">
        <f t="shared" si="6"/>
        <v>44957</v>
      </c>
    </row>
    <row r="417" spans="1:8">
      <c r="A417" s="1">
        <v>44974</v>
      </c>
      <c r="B417" t="s">
        <v>7</v>
      </c>
      <c r="C417">
        <v>53</v>
      </c>
      <c r="D417" t="s">
        <v>11</v>
      </c>
      <c r="E417">
        <v>4</v>
      </c>
      <c r="F417">
        <v>500</v>
      </c>
      <c r="G417">
        <v>2000</v>
      </c>
      <c r="H417" s="2">
        <f t="shared" si="6"/>
        <v>44985</v>
      </c>
    </row>
    <row r="418" spans="1:8">
      <c r="A418" s="1">
        <v>45251</v>
      </c>
      <c r="B418" t="s">
        <v>7</v>
      </c>
      <c r="C418">
        <v>43</v>
      </c>
      <c r="D418" t="s">
        <v>11</v>
      </c>
      <c r="E418">
        <v>3</v>
      </c>
      <c r="F418">
        <v>300</v>
      </c>
      <c r="G418">
        <v>900</v>
      </c>
      <c r="H418" s="2">
        <f t="shared" si="6"/>
        <v>45260</v>
      </c>
    </row>
    <row r="419" spans="1:8">
      <c r="A419" s="1">
        <v>45143</v>
      </c>
      <c r="B419" t="s">
        <v>9</v>
      </c>
      <c r="C419">
        <v>60</v>
      </c>
      <c r="D419" t="s">
        <v>11</v>
      </c>
      <c r="E419">
        <v>2</v>
      </c>
      <c r="F419">
        <v>500</v>
      </c>
      <c r="G419">
        <v>1000</v>
      </c>
      <c r="H419" s="2">
        <f t="shared" si="6"/>
        <v>45169</v>
      </c>
    </row>
    <row r="420" spans="1:8">
      <c r="A420" s="1">
        <v>45068</v>
      </c>
      <c r="B420" t="s">
        <v>9</v>
      </c>
      <c r="C420">
        <v>44</v>
      </c>
      <c r="D420" t="s">
        <v>10</v>
      </c>
      <c r="E420">
        <v>3</v>
      </c>
      <c r="F420">
        <v>30</v>
      </c>
      <c r="G420">
        <v>90</v>
      </c>
      <c r="H420" s="2">
        <f t="shared" si="6"/>
        <v>45077</v>
      </c>
    </row>
    <row r="421" spans="1:8">
      <c r="A421" s="1">
        <v>44949</v>
      </c>
      <c r="B421" t="s">
        <v>9</v>
      </c>
      <c r="C421">
        <v>22</v>
      </c>
      <c r="D421" t="s">
        <v>10</v>
      </c>
      <c r="E421">
        <v>4</v>
      </c>
      <c r="F421">
        <v>500</v>
      </c>
      <c r="G421">
        <v>2000</v>
      </c>
      <c r="H421" s="2">
        <f t="shared" si="6"/>
        <v>44957</v>
      </c>
    </row>
    <row r="422" spans="1:8">
      <c r="A422" s="1">
        <v>44928</v>
      </c>
      <c r="B422" t="s">
        <v>9</v>
      </c>
      <c r="C422">
        <v>37</v>
      </c>
      <c r="D422" t="s">
        <v>10</v>
      </c>
      <c r="E422">
        <v>3</v>
      </c>
      <c r="F422">
        <v>500</v>
      </c>
      <c r="G422">
        <v>1500</v>
      </c>
      <c r="H422" s="2">
        <f t="shared" si="6"/>
        <v>44957</v>
      </c>
    </row>
    <row r="423" spans="1:8">
      <c r="A423" s="1">
        <v>45097</v>
      </c>
      <c r="B423" t="s">
        <v>9</v>
      </c>
      <c r="C423">
        <v>28</v>
      </c>
      <c r="D423" t="s">
        <v>10</v>
      </c>
      <c r="E423">
        <v>3</v>
      </c>
      <c r="F423">
        <v>30</v>
      </c>
      <c r="G423">
        <v>90</v>
      </c>
      <c r="H423" s="2">
        <f t="shared" si="6"/>
        <v>45107</v>
      </c>
    </row>
    <row r="424" spans="1:8">
      <c r="A424" s="1">
        <v>44993</v>
      </c>
      <c r="B424" t="s">
        <v>9</v>
      </c>
      <c r="C424">
        <v>27</v>
      </c>
      <c r="D424" t="s">
        <v>10</v>
      </c>
      <c r="E424">
        <v>1</v>
      </c>
      <c r="F424">
        <v>25</v>
      </c>
      <c r="G424">
        <v>25</v>
      </c>
      <c r="H424" s="2">
        <f t="shared" si="6"/>
        <v>45016</v>
      </c>
    </row>
    <row r="425" spans="1:8">
      <c r="A425" s="1">
        <v>45253</v>
      </c>
      <c r="B425" t="s">
        <v>7</v>
      </c>
      <c r="C425">
        <v>57</v>
      </c>
      <c r="D425" t="s">
        <v>8</v>
      </c>
      <c r="E425">
        <v>4</v>
      </c>
      <c r="F425">
        <v>300</v>
      </c>
      <c r="G425">
        <v>1200</v>
      </c>
      <c r="H425" s="2">
        <f t="shared" si="6"/>
        <v>45260</v>
      </c>
    </row>
    <row r="426" spans="1:8">
      <c r="A426" s="1">
        <v>45061</v>
      </c>
      <c r="B426" t="s">
        <v>9</v>
      </c>
      <c r="C426">
        <v>55</v>
      </c>
      <c r="D426" t="s">
        <v>11</v>
      </c>
      <c r="E426">
        <v>4</v>
      </c>
      <c r="F426">
        <v>30</v>
      </c>
      <c r="G426">
        <v>120</v>
      </c>
      <c r="H426" s="2">
        <f t="shared" si="6"/>
        <v>45077</v>
      </c>
    </row>
    <row r="427" spans="1:8">
      <c r="A427" s="1">
        <v>45009</v>
      </c>
      <c r="B427" t="s">
        <v>7</v>
      </c>
      <c r="C427">
        <v>23</v>
      </c>
      <c r="D427" t="s">
        <v>11</v>
      </c>
      <c r="E427">
        <v>3</v>
      </c>
      <c r="F427">
        <v>50</v>
      </c>
      <c r="G427">
        <v>150</v>
      </c>
      <c r="H427" s="2">
        <f t="shared" si="6"/>
        <v>45016</v>
      </c>
    </row>
    <row r="428" spans="1:8">
      <c r="A428" s="1">
        <v>45153</v>
      </c>
      <c r="B428" t="s">
        <v>7</v>
      </c>
      <c r="C428">
        <v>25</v>
      </c>
      <c r="D428" t="s">
        <v>11</v>
      </c>
      <c r="E428">
        <v>1</v>
      </c>
      <c r="F428">
        <v>25</v>
      </c>
      <c r="G428">
        <v>25</v>
      </c>
      <c r="H428" s="2">
        <f t="shared" si="6"/>
        <v>45169</v>
      </c>
    </row>
    <row r="429" spans="1:8">
      <c r="A429" s="1">
        <v>45209</v>
      </c>
      <c r="B429" t="s">
        <v>9</v>
      </c>
      <c r="C429">
        <v>40</v>
      </c>
      <c r="D429" t="s">
        <v>11</v>
      </c>
      <c r="E429">
        <v>4</v>
      </c>
      <c r="F429">
        <v>50</v>
      </c>
      <c r="G429">
        <v>200</v>
      </c>
      <c r="H429" s="2">
        <f t="shared" si="6"/>
        <v>45230</v>
      </c>
    </row>
    <row r="430" spans="1:8">
      <c r="A430" s="1">
        <v>45288</v>
      </c>
      <c r="B430" t="s">
        <v>7</v>
      </c>
      <c r="C430">
        <v>64</v>
      </c>
      <c r="D430" t="s">
        <v>11</v>
      </c>
      <c r="E430">
        <v>2</v>
      </c>
      <c r="F430">
        <v>25</v>
      </c>
      <c r="G430">
        <v>50</v>
      </c>
      <c r="H430" s="2">
        <f t="shared" si="6"/>
        <v>45291</v>
      </c>
    </row>
    <row r="431" spans="1:8">
      <c r="A431" s="1">
        <v>45145</v>
      </c>
      <c r="B431" t="s">
        <v>9</v>
      </c>
      <c r="C431">
        <v>43</v>
      </c>
      <c r="D431" t="s">
        <v>11</v>
      </c>
      <c r="E431">
        <v>3</v>
      </c>
      <c r="F431">
        <v>300</v>
      </c>
      <c r="G431">
        <v>900</v>
      </c>
      <c r="H431" s="2">
        <f t="shared" si="6"/>
        <v>45169</v>
      </c>
    </row>
    <row r="432" spans="1:8">
      <c r="A432" s="1">
        <v>45214</v>
      </c>
      <c r="B432" t="s">
        <v>7</v>
      </c>
      <c r="C432">
        <v>63</v>
      </c>
      <c r="D432" t="s">
        <v>11</v>
      </c>
      <c r="E432">
        <v>4</v>
      </c>
      <c r="F432">
        <v>300</v>
      </c>
      <c r="G432">
        <v>1200</v>
      </c>
      <c r="H432" s="2">
        <f t="shared" si="6"/>
        <v>45230</v>
      </c>
    </row>
    <row r="433" spans="1:8">
      <c r="A433" s="1">
        <v>44931</v>
      </c>
      <c r="B433" t="s">
        <v>9</v>
      </c>
      <c r="C433">
        <v>60</v>
      </c>
      <c r="D433" t="s">
        <v>11</v>
      </c>
      <c r="E433">
        <v>2</v>
      </c>
      <c r="F433">
        <v>500</v>
      </c>
      <c r="G433">
        <v>1000</v>
      </c>
      <c r="H433" s="2">
        <f t="shared" si="6"/>
        <v>44957</v>
      </c>
    </row>
    <row r="434" spans="1:8">
      <c r="A434" s="1">
        <v>44984</v>
      </c>
      <c r="B434" t="s">
        <v>7</v>
      </c>
      <c r="C434">
        <v>29</v>
      </c>
      <c r="D434" t="s">
        <v>8</v>
      </c>
      <c r="E434">
        <v>4</v>
      </c>
      <c r="F434">
        <v>50</v>
      </c>
      <c r="G434">
        <v>200</v>
      </c>
      <c r="H434" s="2">
        <f t="shared" si="6"/>
        <v>44985</v>
      </c>
    </row>
    <row r="435" spans="1:8">
      <c r="A435" s="1">
        <v>44965</v>
      </c>
      <c r="B435" t="s">
        <v>9</v>
      </c>
      <c r="C435">
        <v>43</v>
      </c>
      <c r="D435" t="s">
        <v>11</v>
      </c>
      <c r="E435">
        <v>2</v>
      </c>
      <c r="F435">
        <v>25</v>
      </c>
      <c r="G435">
        <v>50</v>
      </c>
      <c r="H435" s="2">
        <f t="shared" si="6"/>
        <v>44985</v>
      </c>
    </row>
    <row r="436" spans="1:8">
      <c r="A436" s="1">
        <v>45280</v>
      </c>
      <c r="B436" t="s">
        <v>9</v>
      </c>
      <c r="C436">
        <v>30</v>
      </c>
      <c r="D436" t="s">
        <v>8</v>
      </c>
      <c r="E436">
        <v>3</v>
      </c>
      <c r="F436">
        <v>300</v>
      </c>
      <c r="G436">
        <v>900</v>
      </c>
      <c r="H436" s="2">
        <f t="shared" si="6"/>
        <v>45291</v>
      </c>
    </row>
    <row r="437" spans="1:8">
      <c r="A437" s="1">
        <v>45003</v>
      </c>
      <c r="B437" t="s">
        <v>9</v>
      </c>
      <c r="C437">
        <v>57</v>
      </c>
      <c r="D437" t="s">
        <v>10</v>
      </c>
      <c r="E437">
        <v>4</v>
      </c>
      <c r="F437">
        <v>30</v>
      </c>
      <c r="G437">
        <v>120</v>
      </c>
      <c r="H437" s="2">
        <f t="shared" si="6"/>
        <v>45016</v>
      </c>
    </row>
    <row r="438" spans="1:8">
      <c r="A438" s="1">
        <v>45206</v>
      </c>
      <c r="B438" t="s">
        <v>9</v>
      </c>
      <c r="C438">
        <v>35</v>
      </c>
      <c r="D438" t="s">
        <v>11</v>
      </c>
      <c r="E438">
        <v>4</v>
      </c>
      <c r="F438">
        <v>300</v>
      </c>
      <c r="G438">
        <v>1200</v>
      </c>
      <c r="H438" s="2">
        <f t="shared" si="6"/>
        <v>45230</v>
      </c>
    </row>
    <row r="439" spans="1:8">
      <c r="A439" s="1">
        <v>44945</v>
      </c>
      <c r="B439" t="s">
        <v>9</v>
      </c>
      <c r="C439">
        <v>42</v>
      </c>
      <c r="D439" t="s">
        <v>10</v>
      </c>
      <c r="E439">
        <v>1</v>
      </c>
      <c r="F439">
        <v>30</v>
      </c>
      <c r="G439">
        <v>30</v>
      </c>
      <c r="H439" s="2">
        <f t="shared" si="6"/>
        <v>44957</v>
      </c>
    </row>
    <row r="440" spans="1:8">
      <c r="A440" s="1">
        <v>45116</v>
      </c>
      <c r="B440" t="s">
        <v>7</v>
      </c>
      <c r="C440">
        <v>50</v>
      </c>
      <c r="D440" t="s">
        <v>10</v>
      </c>
      <c r="E440">
        <v>3</v>
      </c>
      <c r="F440">
        <v>25</v>
      </c>
      <c r="G440">
        <v>75</v>
      </c>
      <c r="H440" s="2">
        <f t="shared" si="6"/>
        <v>45138</v>
      </c>
    </row>
    <row r="441" spans="1:8">
      <c r="A441" s="1">
        <v>45225</v>
      </c>
      <c r="B441" t="s">
        <v>7</v>
      </c>
      <c r="C441">
        <v>64</v>
      </c>
      <c r="D441" t="s">
        <v>10</v>
      </c>
      <c r="E441">
        <v>2</v>
      </c>
      <c r="F441">
        <v>300</v>
      </c>
      <c r="G441">
        <v>600</v>
      </c>
      <c r="H441" s="2">
        <f t="shared" si="6"/>
        <v>45230</v>
      </c>
    </row>
    <row r="442" spans="1:8">
      <c r="A442" s="1">
        <v>45209</v>
      </c>
      <c r="B442" t="s">
        <v>7</v>
      </c>
      <c r="C442">
        <v>57</v>
      </c>
      <c r="D442" t="s">
        <v>8</v>
      </c>
      <c r="E442">
        <v>4</v>
      </c>
      <c r="F442">
        <v>300</v>
      </c>
      <c r="G442">
        <v>1200</v>
      </c>
      <c r="H442" s="2">
        <f t="shared" si="6"/>
        <v>45230</v>
      </c>
    </row>
    <row r="443" spans="1:8">
      <c r="A443" s="1">
        <v>45002</v>
      </c>
      <c r="B443" t="s">
        <v>9</v>
      </c>
      <c r="C443">
        <v>60</v>
      </c>
      <c r="D443" t="s">
        <v>10</v>
      </c>
      <c r="E443">
        <v>4</v>
      </c>
      <c r="F443">
        <v>25</v>
      </c>
      <c r="G443">
        <v>100</v>
      </c>
      <c r="H443" s="2">
        <f t="shared" si="6"/>
        <v>45016</v>
      </c>
    </row>
    <row r="444" spans="1:8">
      <c r="A444" s="1">
        <v>45147</v>
      </c>
      <c r="B444" t="s">
        <v>7</v>
      </c>
      <c r="C444">
        <v>29</v>
      </c>
      <c r="D444" t="s">
        <v>10</v>
      </c>
      <c r="E444">
        <v>2</v>
      </c>
      <c r="F444">
        <v>300</v>
      </c>
      <c r="G444">
        <v>600</v>
      </c>
      <c r="H444" s="2">
        <f t="shared" si="6"/>
        <v>45169</v>
      </c>
    </row>
    <row r="445" spans="1:8">
      <c r="A445" s="1">
        <v>44992</v>
      </c>
      <c r="B445" t="s">
        <v>9</v>
      </c>
      <c r="C445">
        <v>61</v>
      </c>
      <c r="D445" t="s">
        <v>10</v>
      </c>
      <c r="E445">
        <v>3</v>
      </c>
      <c r="F445">
        <v>30</v>
      </c>
      <c r="G445">
        <v>90</v>
      </c>
      <c r="H445" s="2">
        <f t="shared" si="6"/>
        <v>45016</v>
      </c>
    </row>
    <row r="446" spans="1:8">
      <c r="A446" s="1">
        <v>44948</v>
      </c>
      <c r="B446" t="s">
        <v>9</v>
      </c>
      <c r="C446">
        <v>53</v>
      </c>
      <c r="D446" t="s">
        <v>11</v>
      </c>
      <c r="E446">
        <v>1</v>
      </c>
      <c r="F446">
        <v>300</v>
      </c>
      <c r="G446">
        <v>300</v>
      </c>
      <c r="H446" s="2">
        <f t="shared" si="6"/>
        <v>44957</v>
      </c>
    </row>
    <row r="447" spans="1:8">
      <c r="A447" s="1">
        <v>45084</v>
      </c>
      <c r="B447" t="s">
        <v>7</v>
      </c>
      <c r="C447">
        <v>21</v>
      </c>
      <c r="D447" t="s">
        <v>11</v>
      </c>
      <c r="E447">
        <v>1</v>
      </c>
      <c r="F447">
        <v>50</v>
      </c>
      <c r="G447">
        <v>50</v>
      </c>
      <c r="H447" s="2">
        <f t="shared" si="6"/>
        <v>45107</v>
      </c>
    </row>
    <row r="448" spans="1:8">
      <c r="A448" s="1">
        <v>45113</v>
      </c>
      <c r="B448" t="s">
        <v>7</v>
      </c>
      <c r="C448">
        <v>22</v>
      </c>
      <c r="D448" t="s">
        <v>8</v>
      </c>
      <c r="E448">
        <v>4</v>
      </c>
      <c r="F448">
        <v>500</v>
      </c>
      <c r="G448">
        <v>2000</v>
      </c>
      <c r="H448" s="2">
        <f t="shared" si="6"/>
        <v>45138</v>
      </c>
    </row>
    <row r="449" spans="1:8">
      <c r="A449" s="1">
        <v>44947</v>
      </c>
      <c r="B449" t="s">
        <v>9</v>
      </c>
      <c r="C449">
        <v>54</v>
      </c>
      <c r="D449" t="s">
        <v>8</v>
      </c>
      <c r="E449">
        <v>2</v>
      </c>
      <c r="F449">
        <v>30</v>
      </c>
      <c r="G449">
        <v>60</v>
      </c>
      <c r="H449" s="2">
        <f t="shared" si="6"/>
        <v>44957</v>
      </c>
    </row>
    <row r="450" spans="1:8">
      <c r="A450" s="1">
        <v>45110</v>
      </c>
      <c r="B450" t="s">
        <v>7</v>
      </c>
      <c r="C450">
        <v>25</v>
      </c>
      <c r="D450" t="s">
        <v>11</v>
      </c>
      <c r="E450">
        <v>4</v>
      </c>
      <c r="F450">
        <v>50</v>
      </c>
      <c r="G450">
        <v>200</v>
      </c>
      <c r="H450" s="2">
        <f t="shared" si="6"/>
        <v>45138</v>
      </c>
    </row>
    <row r="451" spans="1:8">
      <c r="A451" s="1">
        <v>45034</v>
      </c>
      <c r="B451" t="s">
        <v>9</v>
      </c>
      <c r="C451">
        <v>59</v>
      </c>
      <c r="D451" t="s">
        <v>8</v>
      </c>
      <c r="E451">
        <v>2</v>
      </c>
      <c r="F451">
        <v>25</v>
      </c>
      <c r="G451">
        <v>50</v>
      </c>
      <c r="H451" s="2">
        <f t="shared" ref="H451:H514" si="7">EOMONTH(A451,0)</f>
        <v>45046</v>
      </c>
    </row>
    <row r="452" spans="1:8">
      <c r="A452" s="1">
        <v>45276</v>
      </c>
      <c r="B452" t="s">
        <v>9</v>
      </c>
      <c r="C452">
        <v>45</v>
      </c>
      <c r="D452" t="s">
        <v>11</v>
      </c>
      <c r="E452">
        <v>1</v>
      </c>
      <c r="F452">
        <v>30</v>
      </c>
      <c r="G452">
        <v>30</v>
      </c>
      <c r="H452" s="2">
        <f t="shared" si="7"/>
        <v>45291</v>
      </c>
    </row>
    <row r="453" spans="1:8">
      <c r="A453" s="1">
        <v>45054</v>
      </c>
      <c r="B453" t="s">
        <v>9</v>
      </c>
      <c r="C453">
        <v>48</v>
      </c>
      <c r="D453" t="s">
        <v>10</v>
      </c>
      <c r="E453">
        <v>3</v>
      </c>
      <c r="F453">
        <v>500</v>
      </c>
      <c r="G453">
        <v>1500</v>
      </c>
      <c r="H453" s="2">
        <f t="shared" si="7"/>
        <v>45077</v>
      </c>
    </row>
    <row r="454" spans="1:8">
      <c r="A454" s="1">
        <v>45268</v>
      </c>
      <c r="B454" t="s">
        <v>9</v>
      </c>
      <c r="C454">
        <v>26</v>
      </c>
      <c r="D454" t="s">
        <v>10</v>
      </c>
      <c r="E454">
        <v>2</v>
      </c>
      <c r="F454">
        <v>500</v>
      </c>
      <c r="G454">
        <v>1000</v>
      </c>
      <c r="H454" s="2">
        <f t="shared" si="7"/>
        <v>45291</v>
      </c>
    </row>
    <row r="455" spans="1:8">
      <c r="A455" s="1">
        <v>44979</v>
      </c>
      <c r="B455" t="s">
        <v>9</v>
      </c>
      <c r="C455">
        <v>46</v>
      </c>
      <c r="D455" t="s">
        <v>8</v>
      </c>
      <c r="E455">
        <v>1</v>
      </c>
      <c r="F455">
        <v>25</v>
      </c>
      <c r="G455">
        <v>25</v>
      </c>
      <c r="H455" s="2">
        <f t="shared" si="7"/>
        <v>44985</v>
      </c>
    </row>
    <row r="456" spans="1:8">
      <c r="A456" s="1">
        <v>45108</v>
      </c>
      <c r="B456" t="s">
        <v>7</v>
      </c>
      <c r="C456">
        <v>31</v>
      </c>
      <c r="D456" t="s">
        <v>11</v>
      </c>
      <c r="E456">
        <v>4</v>
      </c>
      <c r="F456">
        <v>25</v>
      </c>
      <c r="G456">
        <v>100</v>
      </c>
      <c r="H456" s="2">
        <f t="shared" si="7"/>
        <v>45138</v>
      </c>
    </row>
    <row r="457" spans="1:8">
      <c r="A457" s="1">
        <v>45213</v>
      </c>
      <c r="B457" t="s">
        <v>7</v>
      </c>
      <c r="C457">
        <v>57</v>
      </c>
      <c r="D457" t="s">
        <v>11</v>
      </c>
      <c r="E457">
        <v>2</v>
      </c>
      <c r="F457">
        <v>30</v>
      </c>
      <c r="G457">
        <v>60</v>
      </c>
      <c r="H457" s="2">
        <f t="shared" si="7"/>
        <v>45230</v>
      </c>
    </row>
    <row r="458" spans="1:8">
      <c r="A458" s="1">
        <v>45135</v>
      </c>
      <c r="B458" t="s">
        <v>9</v>
      </c>
      <c r="C458">
        <v>58</v>
      </c>
      <c r="D458" t="s">
        <v>8</v>
      </c>
      <c r="E458">
        <v>3</v>
      </c>
      <c r="F458">
        <v>300</v>
      </c>
      <c r="G458">
        <v>900</v>
      </c>
      <c r="H458" s="2">
        <f t="shared" si="7"/>
        <v>45138</v>
      </c>
    </row>
    <row r="459" spans="1:8">
      <c r="A459" s="1">
        <v>45244</v>
      </c>
      <c r="B459" t="s">
        <v>9</v>
      </c>
      <c r="C459">
        <v>39</v>
      </c>
      <c r="D459" t="s">
        <v>11</v>
      </c>
      <c r="E459">
        <v>4</v>
      </c>
      <c r="F459">
        <v>25</v>
      </c>
      <c r="G459">
        <v>100</v>
      </c>
      <c r="H459" s="2">
        <f t="shared" si="7"/>
        <v>45260</v>
      </c>
    </row>
    <row r="460" spans="1:8">
      <c r="A460" s="1">
        <v>45006</v>
      </c>
      <c r="B460" t="s">
        <v>7</v>
      </c>
      <c r="C460">
        <v>28</v>
      </c>
      <c r="D460" t="s">
        <v>10</v>
      </c>
      <c r="E460">
        <v>4</v>
      </c>
      <c r="F460">
        <v>300</v>
      </c>
      <c r="G460">
        <v>1200</v>
      </c>
      <c r="H460" s="2">
        <f t="shared" si="7"/>
        <v>45016</v>
      </c>
    </row>
    <row r="461" spans="1:8">
      <c r="A461" s="1">
        <v>45048</v>
      </c>
      <c r="B461" t="s">
        <v>7</v>
      </c>
      <c r="C461">
        <v>40</v>
      </c>
      <c r="D461" t="s">
        <v>8</v>
      </c>
      <c r="E461">
        <v>1</v>
      </c>
      <c r="F461">
        <v>50</v>
      </c>
      <c r="G461">
        <v>50</v>
      </c>
      <c r="H461" s="2">
        <f t="shared" si="7"/>
        <v>45077</v>
      </c>
    </row>
    <row r="462" spans="1:8">
      <c r="A462" s="1">
        <v>45010</v>
      </c>
      <c r="B462" t="s">
        <v>9</v>
      </c>
      <c r="C462">
        <v>18</v>
      </c>
      <c r="D462" t="s">
        <v>8</v>
      </c>
      <c r="E462">
        <v>2</v>
      </c>
      <c r="F462">
        <v>500</v>
      </c>
      <c r="G462">
        <v>1000</v>
      </c>
      <c r="H462" s="2">
        <f t="shared" si="7"/>
        <v>45016</v>
      </c>
    </row>
    <row r="463" spans="1:8">
      <c r="A463" s="1">
        <v>45017</v>
      </c>
      <c r="B463" t="s">
        <v>7</v>
      </c>
      <c r="C463">
        <v>63</v>
      </c>
      <c r="D463" t="s">
        <v>11</v>
      </c>
      <c r="E463">
        <v>4</v>
      </c>
      <c r="F463">
        <v>300</v>
      </c>
      <c r="G463">
        <v>1200</v>
      </c>
      <c r="H463" s="2">
        <f t="shared" si="7"/>
        <v>45046</v>
      </c>
    </row>
    <row r="464" spans="1:8">
      <c r="A464" s="1">
        <v>45138</v>
      </c>
      <c r="B464" t="s">
        <v>9</v>
      </c>
      <c r="C464">
        <v>54</v>
      </c>
      <c r="D464" t="s">
        <v>8</v>
      </c>
      <c r="E464">
        <v>3</v>
      </c>
      <c r="F464">
        <v>500</v>
      </c>
      <c r="G464">
        <v>1500</v>
      </c>
      <c r="H464" s="2">
        <f t="shared" si="7"/>
        <v>45138</v>
      </c>
    </row>
    <row r="465" spans="1:8">
      <c r="A465" s="1">
        <v>44939</v>
      </c>
      <c r="B465" t="s">
        <v>7</v>
      </c>
      <c r="C465">
        <v>38</v>
      </c>
      <c r="D465" t="s">
        <v>11</v>
      </c>
      <c r="E465">
        <v>2</v>
      </c>
      <c r="F465">
        <v>300</v>
      </c>
      <c r="G465">
        <v>600</v>
      </c>
      <c r="H465" s="2">
        <f t="shared" si="7"/>
        <v>44957</v>
      </c>
    </row>
    <row r="466" spans="1:8">
      <c r="A466" s="1">
        <v>45018</v>
      </c>
      <c r="B466" t="s">
        <v>9</v>
      </c>
      <c r="C466">
        <v>43</v>
      </c>
      <c r="D466" t="s">
        <v>11</v>
      </c>
      <c r="E466">
        <v>3</v>
      </c>
      <c r="F466">
        <v>50</v>
      </c>
      <c r="G466">
        <v>150</v>
      </c>
      <c r="H466" s="2">
        <f t="shared" si="7"/>
        <v>45046</v>
      </c>
    </row>
    <row r="467" spans="1:8">
      <c r="A467" s="1">
        <v>45097</v>
      </c>
      <c r="B467" t="s">
        <v>7</v>
      </c>
      <c r="C467">
        <v>63</v>
      </c>
      <c r="D467" t="s">
        <v>11</v>
      </c>
      <c r="E467">
        <v>4</v>
      </c>
      <c r="F467">
        <v>25</v>
      </c>
      <c r="G467">
        <v>100</v>
      </c>
      <c r="H467" s="2">
        <f t="shared" si="7"/>
        <v>45107</v>
      </c>
    </row>
    <row r="468" spans="1:8">
      <c r="A468" s="1">
        <v>45137</v>
      </c>
      <c r="B468" t="s">
        <v>9</v>
      </c>
      <c r="C468">
        <v>53</v>
      </c>
      <c r="D468" t="s">
        <v>11</v>
      </c>
      <c r="E468">
        <v>3</v>
      </c>
      <c r="F468">
        <v>50</v>
      </c>
      <c r="G468">
        <v>150</v>
      </c>
      <c r="H468" s="2">
        <f t="shared" si="7"/>
        <v>45138</v>
      </c>
    </row>
    <row r="469" spans="1:8">
      <c r="A469" s="1">
        <v>45269</v>
      </c>
      <c r="B469" t="s">
        <v>7</v>
      </c>
      <c r="C469">
        <v>40</v>
      </c>
      <c r="D469" t="s">
        <v>11</v>
      </c>
      <c r="E469">
        <v>1</v>
      </c>
      <c r="F469">
        <v>25</v>
      </c>
      <c r="G469">
        <v>25</v>
      </c>
      <c r="H469" s="2">
        <f t="shared" si="7"/>
        <v>45291</v>
      </c>
    </row>
    <row r="470" spans="1:8">
      <c r="A470" s="1">
        <v>45054</v>
      </c>
      <c r="B470" t="s">
        <v>7</v>
      </c>
      <c r="C470">
        <v>18</v>
      </c>
      <c r="D470" t="s">
        <v>8</v>
      </c>
      <c r="E470">
        <v>3</v>
      </c>
      <c r="F470">
        <v>25</v>
      </c>
      <c r="G470">
        <v>75</v>
      </c>
      <c r="H470" s="2">
        <f t="shared" si="7"/>
        <v>45077</v>
      </c>
    </row>
    <row r="471" spans="1:8">
      <c r="A471" s="1">
        <v>45063</v>
      </c>
      <c r="B471" t="s">
        <v>9</v>
      </c>
      <c r="C471">
        <v>57</v>
      </c>
      <c r="D471" t="s">
        <v>10</v>
      </c>
      <c r="E471">
        <v>2</v>
      </c>
      <c r="F471">
        <v>500</v>
      </c>
      <c r="G471">
        <v>1000</v>
      </c>
      <c r="H471" s="2">
        <f t="shared" si="7"/>
        <v>45077</v>
      </c>
    </row>
    <row r="472" spans="1:8">
      <c r="A472" s="1">
        <v>45008</v>
      </c>
      <c r="B472" t="s">
        <v>7</v>
      </c>
      <c r="C472">
        <v>32</v>
      </c>
      <c r="D472" t="s">
        <v>10</v>
      </c>
      <c r="E472">
        <v>3</v>
      </c>
      <c r="F472">
        <v>50</v>
      </c>
      <c r="G472">
        <v>150</v>
      </c>
      <c r="H472" s="2">
        <f t="shared" si="7"/>
        <v>45016</v>
      </c>
    </row>
    <row r="473" spans="1:8">
      <c r="A473" s="1">
        <v>45286</v>
      </c>
      <c r="B473" t="s">
        <v>9</v>
      </c>
      <c r="C473">
        <v>38</v>
      </c>
      <c r="D473" t="s">
        <v>8</v>
      </c>
      <c r="E473">
        <v>3</v>
      </c>
      <c r="F473">
        <v>300</v>
      </c>
      <c r="G473">
        <v>900</v>
      </c>
      <c r="H473" s="2">
        <f t="shared" si="7"/>
        <v>45291</v>
      </c>
    </row>
    <row r="474" spans="1:8">
      <c r="A474" s="1">
        <v>44982</v>
      </c>
      <c r="B474" t="s">
        <v>7</v>
      </c>
      <c r="C474">
        <v>64</v>
      </c>
      <c r="D474" t="s">
        <v>8</v>
      </c>
      <c r="E474">
        <v>1</v>
      </c>
      <c r="F474">
        <v>50</v>
      </c>
      <c r="G474">
        <v>50</v>
      </c>
      <c r="H474" s="2">
        <f t="shared" si="7"/>
        <v>44985</v>
      </c>
    </row>
    <row r="475" spans="1:8">
      <c r="A475" s="1">
        <v>45122</v>
      </c>
      <c r="B475" t="s">
        <v>9</v>
      </c>
      <c r="C475">
        <v>26</v>
      </c>
      <c r="D475" t="s">
        <v>10</v>
      </c>
      <c r="E475">
        <v>3</v>
      </c>
      <c r="F475">
        <v>500</v>
      </c>
      <c r="G475">
        <v>1500</v>
      </c>
      <c r="H475" s="2">
        <f t="shared" si="7"/>
        <v>45138</v>
      </c>
    </row>
    <row r="476" spans="1:8">
      <c r="A476" s="1">
        <v>44946</v>
      </c>
      <c r="B476" t="s">
        <v>7</v>
      </c>
      <c r="C476">
        <v>26</v>
      </c>
      <c r="D476" t="s">
        <v>10</v>
      </c>
      <c r="E476">
        <v>3</v>
      </c>
      <c r="F476">
        <v>25</v>
      </c>
      <c r="G476">
        <v>75</v>
      </c>
      <c r="H476" s="2">
        <f t="shared" si="7"/>
        <v>44957</v>
      </c>
    </row>
    <row r="477" spans="1:8">
      <c r="A477" s="1">
        <v>45167</v>
      </c>
      <c r="B477" t="s">
        <v>9</v>
      </c>
      <c r="C477">
        <v>27</v>
      </c>
      <c r="D477" t="s">
        <v>10</v>
      </c>
      <c r="E477">
        <v>4</v>
      </c>
      <c r="F477">
        <v>500</v>
      </c>
      <c r="G477">
        <v>2000</v>
      </c>
      <c r="H477" s="2">
        <f t="shared" si="7"/>
        <v>45169</v>
      </c>
    </row>
    <row r="478" spans="1:8">
      <c r="A478" s="1">
        <v>45040</v>
      </c>
      <c r="B478" t="s">
        <v>7</v>
      </c>
      <c r="C478">
        <v>43</v>
      </c>
      <c r="D478" t="s">
        <v>10</v>
      </c>
      <c r="E478">
        <v>4</v>
      </c>
      <c r="F478">
        <v>30</v>
      </c>
      <c r="G478">
        <v>120</v>
      </c>
      <c r="H478" s="2">
        <f t="shared" si="7"/>
        <v>45046</v>
      </c>
    </row>
    <row r="479" spans="1:8">
      <c r="A479" s="1">
        <v>45029</v>
      </c>
      <c r="B479" t="s">
        <v>9</v>
      </c>
      <c r="C479">
        <v>58</v>
      </c>
      <c r="D479" t="s">
        <v>10</v>
      </c>
      <c r="E479">
        <v>2</v>
      </c>
      <c r="F479">
        <v>30</v>
      </c>
      <c r="G479">
        <v>60</v>
      </c>
      <c r="H479" s="2">
        <f t="shared" si="7"/>
        <v>45046</v>
      </c>
    </row>
    <row r="480" spans="1:8">
      <c r="A480" s="1">
        <v>45162</v>
      </c>
      <c r="B480" t="s">
        <v>7</v>
      </c>
      <c r="C480">
        <v>52</v>
      </c>
      <c r="D480" t="s">
        <v>11</v>
      </c>
      <c r="E480">
        <v>4</v>
      </c>
      <c r="F480">
        <v>300</v>
      </c>
      <c r="G480">
        <v>1200</v>
      </c>
      <c r="H480" s="2">
        <f t="shared" si="7"/>
        <v>45169</v>
      </c>
    </row>
    <row r="481" spans="1:8">
      <c r="A481" s="1">
        <v>45106</v>
      </c>
      <c r="B481" t="s">
        <v>9</v>
      </c>
      <c r="C481">
        <v>42</v>
      </c>
      <c r="D481" t="s">
        <v>8</v>
      </c>
      <c r="E481">
        <v>4</v>
      </c>
      <c r="F481">
        <v>500</v>
      </c>
      <c r="G481">
        <v>2000</v>
      </c>
      <c r="H481" s="2">
        <f t="shared" si="7"/>
        <v>45107</v>
      </c>
    </row>
    <row r="482" spans="1:8">
      <c r="A482" s="1">
        <v>45083</v>
      </c>
      <c r="B482" t="s">
        <v>9</v>
      </c>
      <c r="C482">
        <v>43</v>
      </c>
      <c r="D482" t="s">
        <v>11</v>
      </c>
      <c r="E482">
        <v>4</v>
      </c>
      <c r="F482">
        <v>300</v>
      </c>
      <c r="G482">
        <v>1200</v>
      </c>
      <c r="H482" s="2">
        <f t="shared" si="7"/>
        <v>45107</v>
      </c>
    </row>
    <row r="483" spans="1:8">
      <c r="A483" s="1">
        <v>45043</v>
      </c>
      <c r="B483" t="s">
        <v>9</v>
      </c>
      <c r="C483">
        <v>28</v>
      </c>
      <c r="D483" t="s">
        <v>10</v>
      </c>
      <c r="E483">
        <v>4</v>
      </c>
      <c r="F483">
        <v>300</v>
      </c>
      <c r="G483">
        <v>1200</v>
      </c>
      <c r="H483" s="2">
        <f t="shared" si="7"/>
        <v>45046</v>
      </c>
    </row>
    <row r="484" spans="1:8">
      <c r="A484" s="1">
        <v>45041</v>
      </c>
      <c r="B484" t="s">
        <v>7</v>
      </c>
      <c r="C484">
        <v>55</v>
      </c>
      <c r="D484" t="s">
        <v>10</v>
      </c>
      <c r="E484">
        <v>1</v>
      </c>
      <c r="F484">
        <v>30</v>
      </c>
      <c r="G484">
        <v>30</v>
      </c>
      <c r="H484" s="2">
        <f t="shared" si="7"/>
        <v>45046</v>
      </c>
    </row>
    <row r="485" spans="1:8">
      <c r="A485" s="1">
        <v>44939</v>
      </c>
      <c r="B485" t="s">
        <v>9</v>
      </c>
      <c r="C485">
        <v>19</v>
      </c>
      <c r="D485" t="s">
        <v>10</v>
      </c>
      <c r="E485">
        <v>4</v>
      </c>
      <c r="F485">
        <v>300</v>
      </c>
      <c r="G485">
        <v>1200</v>
      </c>
      <c r="H485" s="2">
        <f t="shared" si="7"/>
        <v>44957</v>
      </c>
    </row>
    <row r="486" spans="1:8">
      <c r="A486" s="1">
        <v>45264</v>
      </c>
      <c r="B486" t="s">
        <v>7</v>
      </c>
      <c r="C486">
        <v>24</v>
      </c>
      <c r="D486" t="s">
        <v>11</v>
      </c>
      <c r="E486">
        <v>1</v>
      </c>
      <c r="F486">
        <v>30</v>
      </c>
      <c r="G486">
        <v>30</v>
      </c>
      <c r="H486" s="2">
        <f t="shared" si="7"/>
        <v>45291</v>
      </c>
    </row>
    <row r="487" spans="1:8">
      <c r="A487" s="1">
        <v>45025</v>
      </c>
      <c r="B487" t="s">
        <v>9</v>
      </c>
      <c r="C487">
        <v>35</v>
      </c>
      <c r="D487" t="s">
        <v>11</v>
      </c>
      <c r="E487">
        <v>1</v>
      </c>
      <c r="F487">
        <v>25</v>
      </c>
      <c r="G487">
        <v>25</v>
      </c>
      <c r="H487" s="2">
        <f t="shared" si="7"/>
        <v>45046</v>
      </c>
    </row>
    <row r="488" spans="1:8">
      <c r="A488" s="1">
        <v>45131</v>
      </c>
      <c r="B488" t="s">
        <v>7</v>
      </c>
      <c r="C488">
        <v>44</v>
      </c>
      <c r="D488" t="s">
        <v>10</v>
      </c>
      <c r="E488">
        <v>4</v>
      </c>
      <c r="F488">
        <v>500</v>
      </c>
      <c r="G488">
        <v>2000</v>
      </c>
      <c r="H488" s="2">
        <f t="shared" si="7"/>
        <v>45138</v>
      </c>
    </row>
    <row r="489" spans="1:8">
      <c r="A489" s="1">
        <v>45095</v>
      </c>
      <c r="B489" t="s">
        <v>9</v>
      </c>
      <c r="C489">
        <v>51</v>
      </c>
      <c r="D489" t="s">
        <v>11</v>
      </c>
      <c r="E489">
        <v>3</v>
      </c>
      <c r="F489">
        <v>300</v>
      </c>
      <c r="G489">
        <v>900</v>
      </c>
      <c r="H489" s="2">
        <f t="shared" si="7"/>
        <v>45107</v>
      </c>
    </row>
    <row r="490" spans="1:8">
      <c r="A490" s="1">
        <v>45069</v>
      </c>
      <c r="B490" t="s">
        <v>7</v>
      </c>
      <c r="C490">
        <v>44</v>
      </c>
      <c r="D490" t="s">
        <v>11</v>
      </c>
      <c r="E490">
        <v>1</v>
      </c>
      <c r="F490">
        <v>30</v>
      </c>
      <c r="G490">
        <v>30</v>
      </c>
      <c r="H490" s="2">
        <f t="shared" si="7"/>
        <v>45077</v>
      </c>
    </row>
    <row r="491" spans="1:8">
      <c r="A491" s="1">
        <v>44962</v>
      </c>
      <c r="B491" t="s">
        <v>7</v>
      </c>
      <c r="C491">
        <v>34</v>
      </c>
      <c r="D491" t="s">
        <v>10</v>
      </c>
      <c r="E491">
        <v>3</v>
      </c>
      <c r="F491">
        <v>50</v>
      </c>
      <c r="G491">
        <v>150</v>
      </c>
      <c r="H491" s="2">
        <f t="shared" si="7"/>
        <v>44985</v>
      </c>
    </row>
    <row r="492" spans="1:8">
      <c r="A492" s="1">
        <v>45069</v>
      </c>
      <c r="B492" t="s">
        <v>9</v>
      </c>
      <c r="C492">
        <v>60</v>
      </c>
      <c r="D492" t="s">
        <v>11</v>
      </c>
      <c r="E492">
        <v>3</v>
      </c>
      <c r="F492">
        <v>300</v>
      </c>
      <c r="G492">
        <v>900</v>
      </c>
      <c r="H492" s="2">
        <f t="shared" si="7"/>
        <v>45077</v>
      </c>
    </row>
    <row r="493" spans="1:8">
      <c r="A493" s="1">
        <v>45106</v>
      </c>
      <c r="B493" t="s">
        <v>7</v>
      </c>
      <c r="C493">
        <v>61</v>
      </c>
      <c r="D493" t="s">
        <v>8</v>
      </c>
      <c r="E493">
        <v>4</v>
      </c>
      <c r="F493">
        <v>25</v>
      </c>
      <c r="G493">
        <v>100</v>
      </c>
      <c r="H493" s="2">
        <f t="shared" si="7"/>
        <v>45107</v>
      </c>
    </row>
    <row r="494" spans="1:8">
      <c r="A494" s="1">
        <v>45255</v>
      </c>
      <c r="B494" t="s">
        <v>7</v>
      </c>
      <c r="C494">
        <v>41</v>
      </c>
      <c r="D494" t="s">
        <v>8</v>
      </c>
      <c r="E494">
        <v>2</v>
      </c>
      <c r="F494">
        <v>25</v>
      </c>
      <c r="G494">
        <v>50</v>
      </c>
      <c r="H494" s="2">
        <f t="shared" si="7"/>
        <v>45260</v>
      </c>
    </row>
    <row r="495" spans="1:8">
      <c r="A495" s="1">
        <v>45187</v>
      </c>
      <c r="B495" t="s">
        <v>9</v>
      </c>
      <c r="C495">
        <v>42</v>
      </c>
      <c r="D495" t="s">
        <v>8</v>
      </c>
      <c r="E495">
        <v>4</v>
      </c>
      <c r="F495">
        <v>50</v>
      </c>
      <c r="G495">
        <v>200</v>
      </c>
      <c r="H495" s="2">
        <f t="shared" si="7"/>
        <v>45199</v>
      </c>
    </row>
    <row r="496" spans="1:8">
      <c r="A496" s="1">
        <v>45131</v>
      </c>
      <c r="B496" t="s">
        <v>7</v>
      </c>
      <c r="C496">
        <v>24</v>
      </c>
      <c r="D496" t="s">
        <v>8</v>
      </c>
      <c r="E496">
        <v>2</v>
      </c>
      <c r="F496">
        <v>30</v>
      </c>
      <c r="G496">
        <v>60</v>
      </c>
      <c r="H496" s="2">
        <f t="shared" si="7"/>
        <v>45138</v>
      </c>
    </row>
    <row r="497" spans="1:8">
      <c r="A497" s="1">
        <v>45274</v>
      </c>
      <c r="B497" t="s">
        <v>7</v>
      </c>
      <c r="C497">
        <v>23</v>
      </c>
      <c r="D497" t="s">
        <v>10</v>
      </c>
      <c r="E497">
        <v>2</v>
      </c>
      <c r="F497">
        <v>300</v>
      </c>
      <c r="G497">
        <v>600</v>
      </c>
      <c r="H497" s="2">
        <f t="shared" si="7"/>
        <v>45291</v>
      </c>
    </row>
    <row r="498" spans="1:8">
      <c r="A498" s="1">
        <v>45201</v>
      </c>
      <c r="B498" t="s">
        <v>7</v>
      </c>
      <c r="C498">
        <v>41</v>
      </c>
      <c r="D498" t="s">
        <v>10</v>
      </c>
      <c r="E498">
        <v>4</v>
      </c>
      <c r="F498">
        <v>30</v>
      </c>
      <c r="G498">
        <v>120</v>
      </c>
      <c r="H498" s="2">
        <f t="shared" si="7"/>
        <v>45230</v>
      </c>
    </row>
    <row r="499" spans="1:8">
      <c r="A499" s="1">
        <v>45096</v>
      </c>
      <c r="B499" t="s">
        <v>9</v>
      </c>
      <c r="C499">
        <v>50</v>
      </c>
      <c r="D499" t="s">
        <v>10</v>
      </c>
      <c r="E499">
        <v>4</v>
      </c>
      <c r="F499">
        <v>25</v>
      </c>
      <c r="G499">
        <v>100</v>
      </c>
      <c r="H499" s="2">
        <f t="shared" si="7"/>
        <v>45107</v>
      </c>
    </row>
    <row r="500" spans="1:8">
      <c r="A500" s="1">
        <v>44941</v>
      </c>
      <c r="B500" t="s">
        <v>7</v>
      </c>
      <c r="C500">
        <v>46</v>
      </c>
      <c r="D500" t="s">
        <v>8</v>
      </c>
      <c r="E500">
        <v>2</v>
      </c>
      <c r="F500">
        <v>30</v>
      </c>
      <c r="G500">
        <v>60</v>
      </c>
      <c r="H500" s="2">
        <f t="shared" si="7"/>
        <v>44957</v>
      </c>
    </row>
    <row r="501" spans="1:8">
      <c r="A501" s="1">
        <v>44986</v>
      </c>
      <c r="B501" t="s">
        <v>9</v>
      </c>
      <c r="C501">
        <v>60</v>
      </c>
      <c r="D501" t="s">
        <v>8</v>
      </c>
      <c r="E501">
        <v>4</v>
      </c>
      <c r="F501">
        <v>25</v>
      </c>
      <c r="G501">
        <v>100</v>
      </c>
      <c r="H501" s="2">
        <f t="shared" si="7"/>
        <v>45016</v>
      </c>
    </row>
    <row r="502" spans="1:8">
      <c r="A502" s="1">
        <v>45060</v>
      </c>
      <c r="B502" t="s">
        <v>7</v>
      </c>
      <c r="C502">
        <v>39</v>
      </c>
      <c r="D502" t="s">
        <v>11</v>
      </c>
      <c r="E502">
        <v>2</v>
      </c>
      <c r="F502">
        <v>30</v>
      </c>
      <c r="G502">
        <v>60</v>
      </c>
      <c r="H502" s="2">
        <f t="shared" si="7"/>
        <v>45077</v>
      </c>
    </row>
    <row r="503" spans="1:8">
      <c r="A503" s="1">
        <v>45018</v>
      </c>
      <c r="B503" t="s">
        <v>7</v>
      </c>
      <c r="C503">
        <v>43</v>
      </c>
      <c r="D503" t="s">
        <v>11</v>
      </c>
      <c r="E503">
        <v>3</v>
      </c>
      <c r="F503">
        <v>50</v>
      </c>
      <c r="G503">
        <v>150</v>
      </c>
      <c r="H503" s="2">
        <f t="shared" si="7"/>
        <v>45046</v>
      </c>
    </row>
    <row r="504" spans="1:8">
      <c r="A504" s="1">
        <v>45224</v>
      </c>
      <c r="B504" t="s">
        <v>7</v>
      </c>
      <c r="C504">
        <v>45</v>
      </c>
      <c r="D504" t="s">
        <v>8</v>
      </c>
      <c r="E504">
        <v>4</v>
      </c>
      <c r="F504">
        <v>500</v>
      </c>
      <c r="G504">
        <v>2000</v>
      </c>
      <c r="H504" s="2">
        <f t="shared" si="7"/>
        <v>45230</v>
      </c>
    </row>
    <row r="505" spans="1:8">
      <c r="A505" s="1">
        <v>45062</v>
      </c>
      <c r="B505" t="s">
        <v>9</v>
      </c>
      <c r="C505">
        <v>38</v>
      </c>
      <c r="D505" t="s">
        <v>8</v>
      </c>
      <c r="E505">
        <v>3</v>
      </c>
      <c r="F505">
        <v>50</v>
      </c>
      <c r="G505">
        <v>150</v>
      </c>
      <c r="H505" s="2">
        <f t="shared" si="7"/>
        <v>45077</v>
      </c>
    </row>
    <row r="506" spans="1:8">
      <c r="A506" s="1">
        <v>44946</v>
      </c>
      <c r="B506" t="s">
        <v>7</v>
      </c>
      <c r="C506">
        <v>24</v>
      </c>
      <c r="D506" t="s">
        <v>8</v>
      </c>
      <c r="E506">
        <v>1</v>
      </c>
      <c r="F506">
        <v>50</v>
      </c>
      <c r="G506">
        <v>50</v>
      </c>
      <c r="H506" s="2">
        <f t="shared" si="7"/>
        <v>44957</v>
      </c>
    </row>
    <row r="507" spans="1:8">
      <c r="A507" s="1">
        <v>44982</v>
      </c>
      <c r="B507" t="s">
        <v>7</v>
      </c>
      <c r="C507">
        <v>34</v>
      </c>
      <c r="D507" t="s">
        <v>8</v>
      </c>
      <c r="E507">
        <v>3</v>
      </c>
      <c r="F507">
        <v>500</v>
      </c>
      <c r="G507">
        <v>1500</v>
      </c>
      <c r="H507" s="2">
        <f t="shared" si="7"/>
        <v>44985</v>
      </c>
    </row>
    <row r="508" spans="1:8">
      <c r="A508" s="1">
        <v>45232</v>
      </c>
      <c r="B508" t="s">
        <v>9</v>
      </c>
      <c r="C508">
        <v>37</v>
      </c>
      <c r="D508" t="s">
        <v>11</v>
      </c>
      <c r="E508">
        <v>3</v>
      </c>
      <c r="F508">
        <v>500</v>
      </c>
      <c r="G508">
        <v>1500</v>
      </c>
      <c r="H508" s="2">
        <f t="shared" si="7"/>
        <v>45260</v>
      </c>
    </row>
    <row r="509" spans="1:8">
      <c r="A509" s="1">
        <v>45149</v>
      </c>
      <c r="B509" t="s">
        <v>7</v>
      </c>
      <c r="C509">
        <v>58</v>
      </c>
      <c r="D509" t="s">
        <v>8</v>
      </c>
      <c r="E509">
        <v>2</v>
      </c>
      <c r="F509">
        <v>300</v>
      </c>
      <c r="G509">
        <v>600</v>
      </c>
      <c r="H509" s="2">
        <f t="shared" si="7"/>
        <v>45169</v>
      </c>
    </row>
    <row r="510" spans="1:8">
      <c r="A510" s="1">
        <v>45103</v>
      </c>
      <c r="B510" t="s">
        <v>9</v>
      </c>
      <c r="C510">
        <v>37</v>
      </c>
      <c r="D510" t="s">
        <v>11</v>
      </c>
      <c r="E510">
        <v>3</v>
      </c>
      <c r="F510">
        <v>300</v>
      </c>
      <c r="G510">
        <v>900</v>
      </c>
      <c r="H510" s="2">
        <f t="shared" si="7"/>
        <v>45107</v>
      </c>
    </row>
    <row r="511" spans="1:8">
      <c r="A511" s="1">
        <v>45087</v>
      </c>
      <c r="B511" t="s">
        <v>9</v>
      </c>
      <c r="C511">
        <v>39</v>
      </c>
      <c r="D511" t="s">
        <v>8</v>
      </c>
      <c r="E511">
        <v>4</v>
      </c>
      <c r="F511">
        <v>50</v>
      </c>
      <c r="G511">
        <v>200</v>
      </c>
      <c r="H511" s="2">
        <f t="shared" si="7"/>
        <v>45107</v>
      </c>
    </row>
    <row r="512" spans="1:8">
      <c r="A512" s="1">
        <v>45150</v>
      </c>
      <c r="B512" t="s">
        <v>7</v>
      </c>
      <c r="C512">
        <v>45</v>
      </c>
      <c r="D512" t="s">
        <v>8</v>
      </c>
      <c r="E512">
        <v>2</v>
      </c>
      <c r="F512">
        <v>50</v>
      </c>
      <c r="G512">
        <v>100</v>
      </c>
      <c r="H512" s="2">
        <f t="shared" si="7"/>
        <v>45169</v>
      </c>
    </row>
    <row r="513" spans="1:8">
      <c r="A513" s="1">
        <v>45237</v>
      </c>
      <c r="B513" t="s">
        <v>9</v>
      </c>
      <c r="C513">
        <v>57</v>
      </c>
      <c r="D513" t="s">
        <v>8</v>
      </c>
      <c r="E513">
        <v>1</v>
      </c>
      <c r="F513">
        <v>25</v>
      </c>
      <c r="G513">
        <v>25</v>
      </c>
      <c r="H513" s="2">
        <f t="shared" si="7"/>
        <v>45260</v>
      </c>
    </row>
    <row r="514" spans="1:8">
      <c r="A514" s="1">
        <v>45188</v>
      </c>
      <c r="B514" t="s">
        <v>7</v>
      </c>
      <c r="C514">
        <v>24</v>
      </c>
      <c r="D514" t="s">
        <v>11</v>
      </c>
      <c r="E514">
        <v>4</v>
      </c>
      <c r="F514">
        <v>25</v>
      </c>
      <c r="G514">
        <v>100</v>
      </c>
      <c r="H514" s="2">
        <f t="shared" si="7"/>
        <v>45199</v>
      </c>
    </row>
    <row r="515" spans="1:8">
      <c r="A515" s="1">
        <v>44986</v>
      </c>
      <c r="B515" t="s">
        <v>9</v>
      </c>
      <c r="C515">
        <v>18</v>
      </c>
      <c r="D515" t="s">
        <v>11</v>
      </c>
      <c r="E515">
        <v>1</v>
      </c>
      <c r="F515">
        <v>300</v>
      </c>
      <c r="G515">
        <v>300</v>
      </c>
      <c r="H515" s="2">
        <f t="shared" ref="H515:H578" si="8">EOMONTH(A515,0)</f>
        <v>45016</v>
      </c>
    </row>
    <row r="516" spans="1:8">
      <c r="A516" s="1">
        <v>45124</v>
      </c>
      <c r="B516" t="s">
        <v>9</v>
      </c>
      <c r="C516">
        <v>49</v>
      </c>
      <c r="D516" t="s">
        <v>10</v>
      </c>
      <c r="E516">
        <v>3</v>
      </c>
      <c r="F516">
        <v>300</v>
      </c>
      <c r="G516">
        <v>900</v>
      </c>
      <c r="H516" s="2">
        <f t="shared" si="8"/>
        <v>45138</v>
      </c>
    </row>
    <row r="517" spans="1:8">
      <c r="A517" s="1">
        <v>45222</v>
      </c>
      <c r="B517" t="s">
        <v>7</v>
      </c>
      <c r="C517">
        <v>30</v>
      </c>
      <c r="D517" t="s">
        <v>8</v>
      </c>
      <c r="E517">
        <v>4</v>
      </c>
      <c r="F517">
        <v>25</v>
      </c>
      <c r="G517">
        <v>100</v>
      </c>
      <c r="H517" s="2">
        <f t="shared" si="8"/>
        <v>45230</v>
      </c>
    </row>
    <row r="518" spans="1:8">
      <c r="A518" s="1">
        <v>45024</v>
      </c>
      <c r="B518" t="s">
        <v>9</v>
      </c>
      <c r="C518">
        <v>47</v>
      </c>
      <c r="D518" t="s">
        <v>10</v>
      </c>
      <c r="E518">
        <v>4</v>
      </c>
      <c r="F518">
        <v>25</v>
      </c>
      <c r="G518">
        <v>100</v>
      </c>
      <c r="H518" s="2">
        <f t="shared" si="8"/>
        <v>45046</v>
      </c>
    </row>
    <row r="519" spans="1:8">
      <c r="A519" s="1">
        <v>45057</v>
      </c>
      <c r="B519" t="s">
        <v>9</v>
      </c>
      <c r="C519">
        <v>40</v>
      </c>
      <c r="D519" t="s">
        <v>10</v>
      </c>
      <c r="E519">
        <v>1</v>
      </c>
      <c r="F519">
        <v>30</v>
      </c>
      <c r="G519">
        <v>30</v>
      </c>
      <c r="H519" s="2">
        <f t="shared" si="8"/>
        <v>45077</v>
      </c>
    </row>
    <row r="520" spans="1:8">
      <c r="A520" s="1">
        <v>44949</v>
      </c>
      <c r="B520" t="s">
        <v>9</v>
      </c>
      <c r="C520">
        <v>36</v>
      </c>
      <c r="D520" t="s">
        <v>11</v>
      </c>
      <c r="E520">
        <v>4</v>
      </c>
      <c r="F520">
        <v>30</v>
      </c>
      <c r="G520">
        <v>120</v>
      </c>
      <c r="H520" s="2">
        <f t="shared" si="8"/>
        <v>44957</v>
      </c>
    </row>
    <row r="521" spans="1:8">
      <c r="A521" s="1">
        <v>45289</v>
      </c>
      <c r="B521" t="s">
        <v>9</v>
      </c>
      <c r="C521">
        <v>49</v>
      </c>
      <c r="D521" t="s">
        <v>11</v>
      </c>
      <c r="E521">
        <v>4</v>
      </c>
      <c r="F521">
        <v>25</v>
      </c>
      <c r="G521">
        <v>100</v>
      </c>
      <c r="H521" s="2">
        <f t="shared" si="8"/>
        <v>45291</v>
      </c>
    </row>
    <row r="522" spans="1:8">
      <c r="A522" s="1">
        <v>45150</v>
      </c>
      <c r="B522" t="s">
        <v>9</v>
      </c>
      <c r="C522">
        <v>47</v>
      </c>
      <c r="D522" t="s">
        <v>10</v>
      </c>
      <c r="E522">
        <v>4</v>
      </c>
      <c r="F522">
        <v>30</v>
      </c>
      <c r="G522">
        <v>120</v>
      </c>
      <c r="H522" s="2">
        <f t="shared" si="8"/>
        <v>45169</v>
      </c>
    </row>
    <row r="523" spans="1:8">
      <c r="A523" s="1">
        <v>44927</v>
      </c>
      <c r="B523" t="s">
        <v>7</v>
      </c>
      <c r="C523">
        <v>46</v>
      </c>
      <c r="D523" t="s">
        <v>8</v>
      </c>
      <c r="E523">
        <v>3</v>
      </c>
      <c r="F523">
        <v>500</v>
      </c>
      <c r="G523">
        <v>1500</v>
      </c>
      <c r="H523" s="2">
        <f t="shared" si="8"/>
        <v>44957</v>
      </c>
    </row>
    <row r="524" spans="1:8">
      <c r="A524" s="1">
        <v>45193</v>
      </c>
      <c r="B524" t="s">
        <v>9</v>
      </c>
      <c r="C524">
        <v>62</v>
      </c>
      <c r="D524" t="s">
        <v>11</v>
      </c>
      <c r="E524">
        <v>1</v>
      </c>
      <c r="F524">
        <v>300</v>
      </c>
      <c r="G524">
        <v>300</v>
      </c>
      <c r="H524" s="2">
        <f t="shared" si="8"/>
        <v>45199</v>
      </c>
    </row>
    <row r="525" spans="1:8">
      <c r="A525" s="1">
        <v>45202</v>
      </c>
      <c r="B525" t="s">
        <v>7</v>
      </c>
      <c r="C525">
        <v>46</v>
      </c>
      <c r="D525" t="s">
        <v>8</v>
      </c>
      <c r="E525">
        <v>4</v>
      </c>
      <c r="F525">
        <v>300</v>
      </c>
      <c r="G525">
        <v>1200</v>
      </c>
      <c r="H525" s="2">
        <f t="shared" si="8"/>
        <v>45230</v>
      </c>
    </row>
    <row r="526" spans="1:8">
      <c r="A526" s="1">
        <v>45278</v>
      </c>
      <c r="B526" t="s">
        <v>9</v>
      </c>
      <c r="C526">
        <v>47</v>
      </c>
      <c r="D526" t="s">
        <v>8</v>
      </c>
      <c r="E526">
        <v>2</v>
      </c>
      <c r="F526">
        <v>25</v>
      </c>
      <c r="G526">
        <v>50</v>
      </c>
      <c r="H526" s="2">
        <f t="shared" si="8"/>
        <v>45291</v>
      </c>
    </row>
    <row r="527" spans="1:8">
      <c r="A527" s="1">
        <v>45270</v>
      </c>
      <c r="B527" t="s">
        <v>7</v>
      </c>
      <c r="C527">
        <v>33</v>
      </c>
      <c r="D527" t="s">
        <v>10</v>
      </c>
      <c r="E527">
        <v>2</v>
      </c>
      <c r="F527">
        <v>50</v>
      </c>
      <c r="G527">
        <v>100</v>
      </c>
      <c r="H527" s="2">
        <f t="shared" si="8"/>
        <v>45291</v>
      </c>
    </row>
    <row r="528" spans="1:8">
      <c r="A528" s="1">
        <v>45027</v>
      </c>
      <c r="B528" t="s">
        <v>7</v>
      </c>
      <c r="C528">
        <v>57</v>
      </c>
      <c r="D528" t="s">
        <v>10</v>
      </c>
      <c r="E528">
        <v>2</v>
      </c>
      <c r="F528">
        <v>25</v>
      </c>
      <c r="G528">
        <v>50</v>
      </c>
      <c r="H528" s="2">
        <f t="shared" si="8"/>
        <v>45046</v>
      </c>
    </row>
    <row r="529" spans="1:8">
      <c r="A529" s="1">
        <v>45113</v>
      </c>
      <c r="B529" t="s">
        <v>9</v>
      </c>
      <c r="C529">
        <v>36</v>
      </c>
      <c r="D529" t="s">
        <v>10</v>
      </c>
      <c r="E529">
        <v>2</v>
      </c>
      <c r="F529">
        <v>30</v>
      </c>
      <c r="G529">
        <v>60</v>
      </c>
      <c r="H529" s="2">
        <f t="shared" si="8"/>
        <v>45138</v>
      </c>
    </row>
    <row r="530" spans="1:8">
      <c r="A530" s="1">
        <v>45147</v>
      </c>
      <c r="B530" t="s">
        <v>9</v>
      </c>
      <c r="C530">
        <v>35</v>
      </c>
      <c r="D530" t="s">
        <v>10</v>
      </c>
      <c r="E530">
        <v>3</v>
      </c>
      <c r="F530">
        <v>50</v>
      </c>
      <c r="G530">
        <v>150</v>
      </c>
      <c r="H530" s="2">
        <f t="shared" si="8"/>
        <v>45169</v>
      </c>
    </row>
    <row r="531" spans="1:8">
      <c r="A531" s="1">
        <v>44962</v>
      </c>
      <c r="B531" t="s">
        <v>9</v>
      </c>
      <c r="C531">
        <v>18</v>
      </c>
      <c r="D531" t="s">
        <v>11</v>
      </c>
      <c r="E531">
        <v>4</v>
      </c>
      <c r="F531">
        <v>30</v>
      </c>
      <c r="G531">
        <v>120</v>
      </c>
      <c r="H531" s="2">
        <f t="shared" si="8"/>
        <v>44985</v>
      </c>
    </row>
    <row r="532" spans="1:8">
      <c r="A532" s="1">
        <v>45267</v>
      </c>
      <c r="B532" t="s">
        <v>7</v>
      </c>
      <c r="C532">
        <v>31</v>
      </c>
      <c r="D532" t="s">
        <v>11</v>
      </c>
      <c r="E532">
        <v>1</v>
      </c>
      <c r="F532">
        <v>500</v>
      </c>
      <c r="G532">
        <v>500</v>
      </c>
      <c r="H532" s="2">
        <f t="shared" si="8"/>
        <v>45291</v>
      </c>
    </row>
    <row r="533" spans="1:8">
      <c r="A533" s="1">
        <v>45096</v>
      </c>
      <c r="B533" t="s">
        <v>9</v>
      </c>
      <c r="C533">
        <v>64</v>
      </c>
      <c r="D533" t="s">
        <v>10</v>
      </c>
      <c r="E533">
        <v>4</v>
      </c>
      <c r="F533">
        <v>30</v>
      </c>
      <c r="G533">
        <v>120</v>
      </c>
      <c r="H533" s="2">
        <f t="shared" si="8"/>
        <v>45107</v>
      </c>
    </row>
    <row r="534" spans="1:8">
      <c r="A534" s="1">
        <v>45246</v>
      </c>
      <c r="B534" t="s">
        <v>7</v>
      </c>
      <c r="C534">
        <v>19</v>
      </c>
      <c r="D534" t="s">
        <v>11</v>
      </c>
      <c r="E534">
        <v>3</v>
      </c>
      <c r="F534">
        <v>500</v>
      </c>
      <c r="G534">
        <v>1500</v>
      </c>
      <c r="H534" s="2">
        <f t="shared" si="8"/>
        <v>45260</v>
      </c>
    </row>
    <row r="535" spans="1:8">
      <c r="A535" s="1">
        <v>45087</v>
      </c>
      <c r="B535" t="s">
        <v>7</v>
      </c>
      <c r="C535">
        <v>45</v>
      </c>
      <c r="D535" t="s">
        <v>10</v>
      </c>
      <c r="E535">
        <v>2</v>
      </c>
      <c r="F535">
        <v>500</v>
      </c>
      <c r="G535">
        <v>1000</v>
      </c>
      <c r="H535" s="2">
        <f t="shared" si="8"/>
        <v>45107</v>
      </c>
    </row>
    <row r="536" spans="1:8">
      <c r="A536" s="1">
        <v>45266</v>
      </c>
      <c r="B536" t="s">
        <v>7</v>
      </c>
      <c r="C536">
        <v>47</v>
      </c>
      <c r="D536" t="s">
        <v>8</v>
      </c>
      <c r="E536">
        <v>3</v>
      </c>
      <c r="F536">
        <v>30</v>
      </c>
      <c r="G536">
        <v>90</v>
      </c>
      <c r="H536" s="2">
        <f t="shared" si="8"/>
        <v>45291</v>
      </c>
    </row>
    <row r="537" spans="1:8">
      <c r="A537" s="1">
        <v>44990</v>
      </c>
      <c r="B537" t="s">
        <v>9</v>
      </c>
      <c r="C537">
        <v>55</v>
      </c>
      <c r="D537" t="s">
        <v>8</v>
      </c>
      <c r="E537">
        <v>4</v>
      </c>
      <c r="F537">
        <v>30</v>
      </c>
      <c r="G537">
        <v>120</v>
      </c>
      <c r="H537" s="2">
        <f t="shared" si="8"/>
        <v>45016</v>
      </c>
    </row>
    <row r="538" spans="1:8">
      <c r="A538" s="1">
        <v>45080</v>
      </c>
      <c r="B538" t="s">
        <v>9</v>
      </c>
      <c r="C538">
        <v>21</v>
      </c>
      <c r="D538" t="s">
        <v>8</v>
      </c>
      <c r="E538">
        <v>1</v>
      </c>
      <c r="F538">
        <v>500</v>
      </c>
      <c r="G538">
        <v>500</v>
      </c>
      <c r="H538" s="2">
        <f t="shared" si="8"/>
        <v>45107</v>
      </c>
    </row>
    <row r="539" spans="1:8">
      <c r="A539" s="1">
        <v>45186</v>
      </c>
      <c r="B539" t="s">
        <v>7</v>
      </c>
      <c r="C539">
        <v>18</v>
      </c>
      <c r="D539" t="s">
        <v>10</v>
      </c>
      <c r="E539">
        <v>3</v>
      </c>
      <c r="F539">
        <v>50</v>
      </c>
      <c r="G539">
        <v>150</v>
      </c>
      <c r="H539" s="2">
        <f t="shared" si="8"/>
        <v>45199</v>
      </c>
    </row>
    <row r="540" spans="1:8">
      <c r="A540" s="1">
        <v>45085</v>
      </c>
      <c r="B540" t="s">
        <v>7</v>
      </c>
      <c r="C540">
        <v>25</v>
      </c>
      <c r="D540" t="s">
        <v>8</v>
      </c>
      <c r="E540">
        <v>1</v>
      </c>
      <c r="F540">
        <v>500</v>
      </c>
      <c r="G540">
        <v>500</v>
      </c>
      <c r="H540" s="2">
        <f t="shared" si="8"/>
        <v>45107</v>
      </c>
    </row>
    <row r="541" spans="1:8">
      <c r="A541" s="1">
        <v>45268</v>
      </c>
      <c r="B541" t="s">
        <v>9</v>
      </c>
      <c r="C541">
        <v>46</v>
      </c>
      <c r="D541" t="s">
        <v>11</v>
      </c>
      <c r="E541">
        <v>3</v>
      </c>
      <c r="F541">
        <v>300</v>
      </c>
      <c r="G541">
        <v>900</v>
      </c>
      <c r="H541" s="2">
        <f t="shared" si="8"/>
        <v>45291</v>
      </c>
    </row>
    <row r="542" spans="1:8">
      <c r="A542" s="1">
        <v>45136</v>
      </c>
      <c r="B542" t="s">
        <v>7</v>
      </c>
      <c r="C542">
        <v>56</v>
      </c>
      <c r="D542" t="s">
        <v>8</v>
      </c>
      <c r="E542">
        <v>1</v>
      </c>
      <c r="F542">
        <v>500</v>
      </c>
      <c r="G542">
        <v>500</v>
      </c>
      <c r="H542" s="2">
        <f t="shared" si="8"/>
        <v>45138</v>
      </c>
    </row>
    <row r="543" spans="1:8">
      <c r="A543" s="1">
        <v>45094</v>
      </c>
      <c r="B543" t="s">
        <v>9</v>
      </c>
      <c r="C543">
        <v>20</v>
      </c>
      <c r="D543" t="s">
        <v>8</v>
      </c>
      <c r="E543">
        <v>1</v>
      </c>
      <c r="F543">
        <v>50</v>
      </c>
      <c r="G543">
        <v>50</v>
      </c>
      <c r="H543" s="2">
        <f t="shared" si="8"/>
        <v>45107</v>
      </c>
    </row>
    <row r="544" spans="1:8">
      <c r="A544" s="1">
        <v>45133</v>
      </c>
      <c r="B544" t="s">
        <v>7</v>
      </c>
      <c r="C544">
        <v>49</v>
      </c>
      <c r="D544" t="s">
        <v>8</v>
      </c>
      <c r="E544">
        <v>2</v>
      </c>
      <c r="F544">
        <v>300</v>
      </c>
      <c r="G544">
        <v>600</v>
      </c>
      <c r="H544" s="2">
        <f t="shared" si="8"/>
        <v>45138</v>
      </c>
    </row>
    <row r="545" spans="1:8">
      <c r="A545" s="1">
        <v>45283</v>
      </c>
      <c r="B545" t="s">
        <v>9</v>
      </c>
      <c r="C545">
        <v>27</v>
      </c>
      <c r="D545" t="s">
        <v>11</v>
      </c>
      <c r="E545">
        <v>1</v>
      </c>
      <c r="F545">
        <v>25</v>
      </c>
      <c r="G545">
        <v>25</v>
      </c>
      <c r="H545" s="2">
        <f t="shared" si="8"/>
        <v>45291</v>
      </c>
    </row>
    <row r="546" spans="1:8">
      <c r="A546" s="1">
        <v>45078</v>
      </c>
      <c r="B546" t="s">
        <v>7</v>
      </c>
      <c r="C546">
        <v>27</v>
      </c>
      <c r="D546" t="s">
        <v>10</v>
      </c>
      <c r="E546">
        <v>2</v>
      </c>
      <c r="F546">
        <v>25</v>
      </c>
      <c r="G546">
        <v>50</v>
      </c>
      <c r="H546" s="2">
        <f t="shared" si="8"/>
        <v>45107</v>
      </c>
    </row>
    <row r="547" spans="1:8">
      <c r="A547" s="1">
        <v>45210</v>
      </c>
      <c r="B547" t="s">
        <v>9</v>
      </c>
      <c r="C547">
        <v>36</v>
      </c>
      <c r="D547" t="s">
        <v>11</v>
      </c>
      <c r="E547">
        <v>4</v>
      </c>
      <c r="F547">
        <v>50</v>
      </c>
      <c r="G547">
        <v>200</v>
      </c>
      <c r="H547" s="2">
        <f t="shared" si="8"/>
        <v>45230</v>
      </c>
    </row>
    <row r="548" spans="1:8">
      <c r="A548" s="1">
        <v>44992</v>
      </c>
      <c r="B548" t="s">
        <v>7</v>
      </c>
      <c r="C548">
        <v>63</v>
      </c>
      <c r="D548" t="s">
        <v>10</v>
      </c>
      <c r="E548">
        <v>4</v>
      </c>
      <c r="F548">
        <v>500</v>
      </c>
      <c r="G548">
        <v>2000</v>
      </c>
      <c r="H548" s="2">
        <f t="shared" si="8"/>
        <v>45016</v>
      </c>
    </row>
    <row r="549" spans="1:8">
      <c r="A549" s="1">
        <v>45025</v>
      </c>
      <c r="B549" t="s">
        <v>9</v>
      </c>
      <c r="C549">
        <v>51</v>
      </c>
      <c r="D549" t="s">
        <v>10</v>
      </c>
      <c r="E549">
        <v>2</v>
      </c>
      <c r="F549">
        <v>30</v>
      </c>
      <c r="G549">
        <v>60</v>
      </c>
      <c r="H549" s="2">
        <f t="shared" si="8"/>
        <v>45046</v>
      </c>
    </row>
    <row r="550" spans="1:8">
      <c r="A550" s="1">
        <v>45142</v>
      </c>
      <c r="B550" t="s">
        <v>9</v>
      </c>
      <c r="C550">
        <v>50</v>
      </c>
      <c r="D550" t="s">
        <v>8</v>
      </c>
      <c r="E550">
        <v>2</v>
      </c>
      <c r="F550">
        <v>50</v>
      </c>
      <c r="G550">
        <v>100</v>
      </c>
      <c r="H550" s="2">
        <f t="shared" si="8"/>
        <v>45169</v>
      </c>
    </row>
    <row r="551" spans="1:8">
      <c r="A551" s="1">
        <v>45267</v>
      </c>
      <c r="B551" t="s">
        <v>7</v>
      </c>
      <c r="C551">
        <v>40</v>
      </c>
      <c r="D551" t="s">
        <v>10</v>
      </c>
      <c r="E551">
        <v>3</v>
      </c>
      <c r="F551">
        <v>300</v>
      </c>
      <c r="G551">
        <v>900</v>
      </c>
      <c r="H551" s="2">
        <f t="shared" si="8"/>
        <v>45291</v>
      </c>
    </row>
    <row r="552" spans="1:8">
      <c r="A552" s="1">
        <v>45121</v>
      </c>
      <c r="B552" t="s">
        <v>7</v>
      </c>
      <c r="C552">
        <v>45</v>
      </c>
      <c r="D552" t="s">
        <v>11</v>
      </c>
      <c r="E552">
        <v>3</v>
      </c>
      <c r="F552">
        <v>300</v>
      </c>
      <c r="G552">
        <v>900</v>
      </c>
      <c r="H552" s="2">
        <f t="shared" si="8"/>
        <v>45138</v>
      </c>
    </row>
    <row r="553" spans="1:8">
      <c r="A553" s="1">
        <v>45273</v>
      </c>
      <c r="B553" t="s">
        <v>9</v>
      </c>
      <c r="C553">
        <v>49</v>
      </c>
      <c r="D553" t="s">
        <v>11</v>
      </c>
      <c r="E553">
        <v>3</v>
      </c>
      <c r="F553">
        <v>25</v>
      </c>
      <c r="G553">
        <v>75</v>
      </c>
      <c r="H553" s="2">
        <f t="shared" si="8"/>
        <v>45291</v>
      </c>
    </row>
    <row r="554" spans="1:8">
      <c r="A554" s="1">
        <v>45016</v>
      </c>
      <c r="B554" t="s">
        <v>7</v>
      </c>
      <c r="C554">
        <v>24</v>
      </c>
      <c r="D554" t="s">
        <v>10</v>
      </c>
      <c r="E554">
        <v>4</v>
      </c>
      <c r="F554">
        <v>300</v>
      </c>
      <c r="G554">
        <v>1200</v>
      </c>
      <c r="H554" s="2">
        <f t="shared" si="8"/>
        <v>45016</v>
      </c>
    </row>
    <row r="555" spans="1:8">
      <c r="A555" s="1">
        <v>45242</v>
      </c>
      <c r="B555" t="s">
        <v>9</v>
      </c>
      <c r="C555">
        <v>46</v>
      </c>
      <c r="D555" t="s">
        <v>8</v>
      </c>
      <c r="E555">
        <v>3</v>
      </c>
      <c r="F555">
        <v>50</v>
      </c>
      <c r="G555">
        <v>150</v>
      </c>
      <c r="H555" s="2">
        <f t="shared" si="8"/>
        <v>45260</v>
      </c>
    </row>
    <row r="556" spans="1:8">
      <c r="A556" s="1">
        <v>45218</v>
      </c>
      <c r="B556" t="s">
        <v>7</v>
      </c>
      <c r="C556">
        <v>25</v>
      </c>
      <c r="D556" t="s">
        <v>8</v>
      </c>
      <c r="E556">
        <v>1</v>
      </c>
      <c r="F556">
        <v>300</v>
      </c>
      <c r="G556">
        <v>300</v>
      </c>
      <c r="H556" s="2">
        <f t="shared" si="8"/>
        <v>45230</v>
      </c>
    </row>
    <row r="557" spans="1:8">
      <c r="A557" s="1">
        <v>45081</v>
      </c>
      <c r="B557" t="s">
        <v>9</v>
      </c>
      <c r="C557">
        <v>18</v>
      </c>
      <c r="D557" t="s">
        <v>11</v>
      </c>
      <c r="E557">
        <v>1</v>
      </c>
      <c r="F557">
        <v>50</v>
      </c>
      <c r="G557">
        <v>50</v>
      </c>
      <c r="H557" s="2">
        <f t="shared" si="8"/>
        <v>45107</v>
      </c>
    </row>
    <row r="558" spans="1:8">
      <c r="A558" s="1">
        <v>45134</v>
      </c>
      <c r="B558" t="s">
        <v>9</v>
      </c>
      <c r="C558">
        <v>20</v>
      </c>
      <c r="D558" t="s">
        <v>8</v>
      </c>
      <c r="E558">
        <v>3</v>
      </c>
      <c r="F558">
        <v>30</v>
      </c>
      <c r="G558">
        <v>90</v>
      </c>
      <c r="H558" s="2">
        <f t="shared" si="8"/>
        <v>45138</v>
      </c>
    </row>
    <row r="559" spans="1:8">
      <c r="A559" s="1">
        <v>45207</v>
      </c>
      <c r="B559" t="s">
        <v>9</v>
      </c>
      <c r="C559">
        <v>41</v>
      </c>
      <c r="D559" t="s">
        <v>10</v>
      </c>
      <c r="E559">
        <v>1</v>
      </c>
      <c r="F559">
        <v>25</v>
      </c>
      <c r="G559">
        <v>25</v>
      </c>
      <c r="H559" s="2">
        <f t="shared" si="8"/>
        <v>45230</v>
      </c>
    </row>
    <row r="560" spans="1:8">
      <c r="A560" s="1">
        <v>44927</v>
      </c>
      <c r="B560" t="s">
        <v>9</v>
      </c>
      <c r="C560">
        <v>40</v>
      </c>
      <c r="D560" t="s">
        <v>10</v>
      </c>
      <c r="E560">
        <v>4</v>
      </c>
      <c r="F560">
        <v>300</v>
      </c>
      <c r="G560">
        <v>1200</v>
      </c>
      <c r="H560" s="2">
        <f t="shared" si="8"/>
        <v>44957</v>
      </c>
    </row>
    <row r="561" spans="1:8">
      <c r="A561" s="1">
        <v>45082</v>
      </c>
      <c r="B561" t="s">
        <v>9</v>
      </c>
      <c r="C561">
        <v>25</v>
      </c>
      <c r="D561" t="s">
        <v>11</v>
      </c>
      <c r="E561">
        <v>1</v>
      </c>
      <c r="F561">
        <v>50</v>
      </c>
      <c r="G561">
        <v>50</v>
      </c>
      <c r="H561" s="2">
        <f t="shared" si="8"/>
        <v>45107</v>
      </c>
    </row>
    <row r="562" spans="1:8">
      <c r="A562" s="1">
        <v>45073</v>
      </c>
      <c r="B562" t="s">
        <v>9</v>
      </c>
      <c r="C562">
        <v>64</v>
      </c>
      <c r="D562" t="s">
        <v>10</v>
      </c>
      <c r="E562">
        <v>4</v>
      </c>
      <c r="F562">
        <v>500</v>
      </c>
      <c r="G562">
        <v>2000</v>
      </c>
      <c r="H562" s="2">
        <f t="shared" si="8"/>
        <v>45077</v>
      </c>
    </row>
    <row r="563" spans="1:8">
      <c r="A563" s="1">
        <v>45034</v>
      </c>
      <c r="B563" t="s">
        <v>7</v>
      </c>
      <c r="C563">
        <v>54</v>
      </c>
      <c r="D563" t="s">
        <v>11</v>
      </c>
      <c r="E563">
        <v>2</v>
      </c>
      <c r="F563">
        <v>25</v>
      </c>
      <c r="G563">
        <v>50</v>
      </c>
      <c r="H563" s="2">
        <f t="shared" si="8"/>
        <v>45046</v>
      </c>
    </row>
    <row r="564" spans="1:8">
      <c r="A564" s="1">
        <v>45147</v>
      </c>
      <c r="B564" t="s">
        <v>7</v>
      </c>
      <c r="C564">
        <v>20</v>
      </c>
      <c r="D564" t="s">
        <v>10</v>
      </c>
      <c r="E564">
        <v>2</v>
      </c>
      <c r="F564">
        <v>30</v>
      </c>
      <c r="G564">
        <v>60</v>
      </c>
      <c r="H564" s="2">
        <f t="shared" si="8"/>
        <v>45169</v>
      </c>
    </row>
    <row r="565" spans="1:8">
      <c r="A565" s="1">
        <v>45223</v>
      </c>
      <c r="B565" t="s">
        <v>7</v>
      </c>
      <c r="C565">
        <v>50</v>
      </c>
      <c r="D565" t="s">
        <v>11</v>
      </c>
      <c r="E565">
        <v>2</v>
      </c>
      <c r="F565">
        <v>50</v>
      </c>
      <c r="G565">
        <v>100</v>
      </c>
      <c r="H565" s="2">
        <f t="shared" si="8"/>
        <v>45230</v>
      </c>
    </row>
    <row r="566" spans="1:8">
      <c r="A566" s="1">
        <v>45237</v>
      </c>
      <c r="B566" t="s">
        <v>9</v>
      </c>
      <c r="C566">
        <v>45</v>
      </c>
      <c r="D566" t="s">
        <v>8</v>
      </c>
      <c r="E566">
        <v>2</v>
      </c>
      <c r="F566">
        <v>30</v>
      </c>
      <c r="G566">
        <v>60</v>
      </c>
      <c r="H566" s="2">
        <f t="shared" si="8"/>
        <v>45260</v>
      </c>
    </row>
    <row r="567" spans="1:8">
      <c r="A567" s="1">
        <v>45262</v>
      </c>
      <c r="B567" t="s">
        <v>9</v>
      </c>
      <c r="C567">
        <v>64</v>
      </c>
      <c r="D567" t="s">
        <v>10</v>
      </c>
      <c r="E567">
        <v>1</v>
      </c>
      <c r="F567">
        <v>30</v>
      </c>
      <c r="G567">
        <v>30</v>
      </c>
      <c r="H567" s="2">
        <f t="shared" si="8"/>
        <v>45291</v>
      </c>
    </row>
    <row r="568" spans="1:8">
      <c r="A568" s="1">
        <v>45091</v>
      </c>
      <c r="B568" t="s">
        <v>9</v>
      </c>
      <c r="C568">
        <v>25</v>
      </c>
      <c r="D568" t="s">
        <v>10</v>
      </c>
      <c r="E568">
        <v>3</v>
      </c>
      <c r="F568">
        <v>300</v>
      </c>
      <c r="G568">
        <v>900</v>
      </c>
      <c r="H568" s="2">
        <f t="shared" si="8"/>
        <v>45107</v>
      </c>
    </row>
    <row r="569" spans="1:8">
      <c r="A569" s="1">
        <v>45165</v>
      </c>
      <c r="B569" t="s">
        <v>9</v>
      </c>
      <c r="C569">
        <v>51</v>
      </c>
      <c r="D569" t="s">
        <v>11</v>
      </c>
      <c r="E569">
        <v>1</v>
      </c>
      <c r="F569">
        <v>300</v>
      </c>
      <c r="G569">
        <v>300</v>
      </c>
      <c r="H569" s="2">
        <f t="shared" si="8"/>
        <v>45169</v>
      </c>
    </row>
    <row r="570" spans="1:8">
      <c r="A570" s="1">
        <v>45153</v>
      </c>
      <c r="B570" t="s">
        <v>7</v>
      </c>
      <c r="C570">
        <v>52</v>
      </c>
      <c r="D570" t="s">
        <v>11</v>
      </c>
      <c r="E570">
        <v>4</v>
      </c>
      <c r="F570">
        <v>50</v>
      </c>
      <c r="G570">
        <v>200</v>
      </c>
      <c r="H570" s="2">
        <f t="shared" si="8"/>
        <v>45169</v>
      </c>
    </row>
    <row r="571" spans="1:8">
      <c r="A571" s="1">
        <v>45153</v>
      </c>
      <c r="B571" t="s">
        <v>7</v>
      </c>
      <c r="C571">
        <v>49</v>
      </c>
      <c r="D571" t="s">
        <v>10</v>
      </c>
      <c r="E571">
        <v>1</v>
      </c>
      <c r="F571">
        <v>500</v>
      </c>
      <c r="G571">
        <v>500</v>
      </c>
      <c r="H571" s="2">
        <f t="shared" si="8"/>
        <v>45169</v>
      </c>
    </row>
    <row r="572" spans="1:8">
      <c r="A572" s="1">
        <v>45272</v>
      </c>
      <c r="B572" t="s">
        <v>9</v>
      </c>
      <c r="C572">
        <v>41</v>
      </c>
      <c r="D572" t="s">
        <v>11</v>
      </c>
      <c r="E572">
        <v>1</v>
      </c>
      <c r="F572">
        <v>50</v>
      </c>
      <c r="G572">
        <v>50</v>
      </c>
      <c r="H572" s="2">
        <f t="shared" si="8"/>
        <v>45291</v>
      </c>
    </row>
    <row r="573" spans="1:8">
      <c r="A573" s="1">
        <v>45036</v>
      </c>
      <c r="B573" t="s">
        <v>7</v>
      </c>
      <c r="C573">
        <v>31</v>
      </c>
      <c r="D573" t="s">
        <v>10</v>
      </c>
      <c r="E573">
        <v>4</v>
      </c>
      <c r="F573">
        <v>500</v>
      </c>
      <c r="G573">
        <v>2000</v>
      </c>
      <c r="H573" s="2">
        <f t="shared" si="8"/>
        <v>45046</v>
      </c>
    </row>
    <row r="574" spans="1:8">
      <c r="A574" s="1">
        <v>45188</v>
      </c>
      <c r="B574" t="s">
        <v>7</v>
      </c>
      <c r="C574">
        <v>49</v>
      </c>
      <c r="D574" t="s">
        <v>8</v>
      </c>
      <c r="E574">
        <v>2</v>
      </c>
      <c r="F574">
        <v>30</v>
      </c>
      <c r="G574">
        <v>60</v>
      </c>
      <c r="H574" s="2">
        <f t="shared" si="8"/>
        <v>45199</v>
      </c>
    </row>
    <row r="575" spans="1:8">
      <c r="A575" s="1">
        <v>45169</v>
      </c>
      <c r="B575" t="s">
        <v>9</v>
      </c>
      <c r="C575">
        <v>63</v>
      </c>
      <c r="D575" t="s">
        <v>11</v>
      </c>
      <c r="E575">
        <v>2</v>
      </c>
      <c r="F575">
        <v>25</v>
      </c>
      <c r="G575">
        <v>50</v>
      </c>
      <c r="H575" s="2">
        <f t="shared" si="8"/>
        <v>45169</v>
      </c>
    </row>
    <row r="576" spans="1:8">
      <c r="A576" s="1">
        <v>45013</v>
      </c>
      <c r="B576" t="s">
        <v>7</v>
      </c>
      <c r="C576">
        <v>60</v>
      </c>
      <c r="D576" t="s">
        <v>10</v>
      </c>
      <c r="E576">
        <v>2</v>
      </c>
      <c r="F576">
        <v>50</v>
      </c>
      <c r="G576">
        <v>100</v>
      </c>
      <c r="H576" s="2">
        <f t="shared" si="8"/>
        <v>45016</v>
      </c>
    </row>
    <row r="577" spans="1:8">
      <c r="A577" s="1">
        <v>45264</v>
      </c>
      <c r="B577" t="s">
        <v>9</v>
      </c>
      <c r="C577">
        <v>33</v>
      </c>
      <c r="D577" t="s">
        <v>8</v>
      </c>
      <c r="E577">
        <v>3</v>
      </c>
      <c r="F577">
        <v>50</v>
      </c>
      <c r="G577">
        <v>150</v>
      </c>
      <c r="H577" s="2">
        <f t="shared" si="8"/>
        <v>45291</v>
      </c>
    </row>
    <row r="578" spans="1:8">
      <c r="A578" s="1">
        <v>44970</v>
      </c>
      <c r="B578" t="s">
        <v>7</v>
      </c>
      <c r="C578">
        <v>21</v>
      </c>
      <c r="D578" t="s">
        <v>8</v>
      </c>
      <c r="E578">
        <v>4</v>
      </c>
      <c r="F578">
        <v>500</v>
      </c>
      <c r="G578">
        <v>2000</v>
      </c>
      <c r="H578" s="2">
        <f t="shared" si="8"/>
        <v>44985</v>
      </c>
    </row>
    <row r="579" spans="1:8">
      <c r="A579" s="1">
        <v>45072</v>
      </c>
      <c r="B579" t="s">
        <v>9</v>
      </c>
      <c r="C579">
        <v>54</v>
      </c>
      <c r="D579" t="s">
        <v>10</v>
      </c>
      <c r="E579">
        <v>4</v>
      </c>
      <c r="F579">
        <v>30</v>
      </c>
      <c r="G579">
        <v>120</v>
      </c>
      <c r="H579" s="2">
        <f t="shared" ref="H579:H642" si="9">EOMONTH(A579,0)</f>
        <v>45077</v>
      </c>
    </row>
    <row r="580" spans="1:8">
      <c r="A580" s="1">
        <v>45190</v>
      </c>
      <c r="B580" t="s">
        <v>9</v>
      </c>
      <c r="C580">
        <v>38</v>
      </c>
      <c r="D580" t="s">
        <v>11</v>
      </c>
      <c r="E580">
        <v>1</v>
      </c>
      <c r="F580">
        <v>30</v>
      </c>
      <c r="G580">
        <v>30</v>
      </c>
      <c r="H580" s="2">
        <f t="shared" si="9"/>
        <v>45199</v>
      </c>
    </row>
    <row r="581" spans="1:8">
      <c r="A581" s="1">
        <v>45266</v>
      </c>
      <c r="B581" t="s">
        <v>9</v>
      </c>
      <c r="C581">
        <v>31</v>
      </c>
      <c r="D581" t="s">
        <v>10</v>
      </c>
      <c r="E581">
        <v>3</v>
      </c>
      <c r="F581">
        <v>500</v>
      </c>
      <c r="G581">
        <v>1500</v>
      </c>
      <c r="H581" s="2">
        <f t="shared" si="9"/>
        <v>45291</v>
      </c>
    </row>
    <row r="582" spans="1:8">
      <c r="A582" s="1">
        <v>45251</v>
      </c>
      <c r="B582" t="s">
        <v>9</v>
      </c>
      <c r="C582">
        <v>48</v>
      </c>
      <c r="D582" t="s">
        <v>8</v>
      </c>
      <c r="E582">
        <v>2</v>
      </c>
      <c r="F582">
        <v>30</v>
      </c>
      <c r="G582">
        <v>60</v>
      </c>
      <c r="H582" s="2">
        <f t="shared" si="9"/>
        <v>45260</v>
      </c>
    </row>
    <row r="583" spans="1:8">
      <c r="A583" s="1">
        <v>45244</v>
      </c>
      <c r="B583" t="s">
        <v>7</v>
      </c>
      <c r="C583">
        <v>35</v>
      </c>
      <c r="D583" t="s">
        <v>10</v>
      </c>
      <c r="E583">
        <v>3</v>
      </c>
      <c r="F583">
        <v>300</v>
      </c>
      <c r="G583">
        <v>900</v>
      </c>
      <c r="H583" s="2">
        <f t="shared" si="9"/>
        <v>45260</v>
      </c>
    </row>
    <row r="584" spans="1:8">
      <c r="A584" s="1">
        <v>45098</v>
      </c>
      <c r="B584" t="s">
        <v>9</v>
      </c>
      <c r="C584">
        <v>24</v>
      </c>
      <c r="D584" t="s">
        <v>11</v>
      </c>
      <c r="E584">
        <v>4</v>
      </c>
      <c r="F584">
        <v>25</v>
      </c>
      <c r="G584">
        <v>100</v>
      </c>
      <c r="H584" s="2">
        <f t="shared" si="9"/>
        <v>45107</v>
      </c>
    </row>
    <row r="585" spans="1:8">
      <c r="A585" s="1">
        <v>44974</v>
      </c>
      <c r="B585" t="s">
        <v>9</v>
      </c>
      <c r="C585">
        <v>27</v>
      </c>
      <c r="D585" t="s">
        <v>8</v>
      </c>
      <c r="E585">
        <v>4</v>
      </c>
      <c r="F585">
        <v>50</v>
      </c>
      <c r="G585">
        <v>200</v>
      </c>
      <c r="H585" s="2">
        <f t="shared" si="9"/>
        <v>44985</v>
      </c>
    </row>
    <row r="586" spans="1:8">
      <c r="A586" s="1">
        <v>45047</v>
      </c>
      <c r="B586" t="s">
        <v>9</v>
      </c>
      <c r="C586">
        <v>24</v>
      </c>
      <c r="D586" t="s">
        <v>10</v>
      </c>
      <c r="E586">
        <v>1</v>
      </c>
      <c r="F586">
        <v>25</v>
      </c>
      <c r="G586">
        <v>25</v>
      </c>
      <c r="H586" s="2">
        <f t="shared" si="9"/>
        <v>45077</v>
      </c>
    </row>
    <row r="587" spans="1:8">
      <c r="A587" s="1">
        <v>45271</v>
      </c>
      <c r="B587" t="s">
        <v>7</v>
      </c>
      <c r="C587">
        <v>50</v>
      </c>
      <c r="D587" t="s">
        <v>11</v>
      </c>
      <c r="E587">
        <v>1</v>
      </c>
      <c r="F587">
        <v>50</v>
      </c>
      <c r="G587">
        <v>50</v>
      </c>
      <c r="H587" s="2">
        <f t="shared" si="9"/>
        <v>45291</v>
      </c>
    </row>
    <row r="588" spans="1:8">
      <c r="A588" s="1">
        <v>45085</v>
      </c>
      <c r="B588" t="s">
        <v>9</v>
      </c>
      <c r="C588">
        <v>40</v>
      </c>
      <c r="D588" t="s">
        <v>8</v>
      </c>
      <c r="E588">
        <v>4</v>
      </c>
      <c r="F588">
        <v>300</v>
      </c>
      <c r="G588">
        <v>1200</v>
      </c>
      <c r="H588" s="2">
        <f t="shared" si="9"/>
        <v>45107</v>
      </c>
    </row>
    <row r="589" spans="1:8">
      <c r="A589" s="1">
        <v>45042</v>
      </c>
      <c r="B589" t="s">
        <v>7</v>
      </c>
      <c r="C589">
        <v>38</v>
      </c>
      <c r="D589" t="s">
        <v>11</v>
      </c>
      <c r="E589">
        <v>2</v>
      </c>
      <c r="F589">
        <v>30</v>
      </c>
      <c r="G589">
        <v>60</v>
      </c>
      <c r="H589" s="2">
        <f t="shared" si="9"/>
        <v>45046</v>
      </c>
    </row>
    <row r="590" spans="1:8">
      <c r="A590" s="1">
        <v>45028</v>
      </c>
      <c r="B590" t="s">
        <v>9</v>
      </c>
      <c r="C590">
        <v>36</v>
      </c>
      <c r="D590" t="s">
        <v>8</v>
      </c>
      <c r="E590">
        <v>2</v>
      </c>
      <c r="F590">
        <v>500</v>
      </c>
      <c r="G590">
        <v>1000</v>
      </c>
      <c r="H590" s="2">
        <f t="shared" si="9"/>
        <v>45046</v>
      </c>
    </row>
    <row r="591" spans="1:8">
      <c r="A591" s="1">
        <v>45002</v>
      </c>
      <c r="B591" t="s">
        <v>7</v>
      </c>
      <c r="C591">
        <v>36</v>
      </c>
      <c r="D591" t="s">
        <v>10</v>
      </c>
      <c r="E591">
        <v>3</v>
      </c>
      <c r="F591">
        <v>300</v>
      </c>
      <c r="G591">
        <v>900</v>
      </c>
      <c r="H591" s="2">
        <f t="shared" si="9"/>
        <v>45016</v>
      </c>
    </row>
    <row r="592" spans="1:8">
      <c r="A592" s="1">
        <v>44939</v>
      </c>
      <c r="B592" t="s">
        <v>7</v>
      </c>
      <c r="C592">
        <v>53</v>
      </c>
      <c r="D592" t="s">
        <v>11</v>
      </c>
      <c r="E592">
        <v>4</v>
      </c>
      <c r="F592">
        <v>25</v>
      </c>
      <c r="G592">
        <v>100</v>
      </c>
      <c r="H592" s="2">
        <f t="shared" si="9"/>
        <v>44957</v>
      </c>
    </row>
    <row r="593" spans="1:8">
      <c r="A593" s="1">
        <v>44950</v>
      </c>
      <c r="B593" t="s">
        <v>9</v>
      </c>
      <c r="C593">
        <v>46</v>
      </c>
      <c r="D593" t="s">
        <v>8</v>
      </c>
      <c r="E593">
        <v>4</v>
      </c>
      <c r="F593">
        <v>500</v>
      </c>
      <c r="G593">
        <v>2000</v>
      </c>
      <c r="H593" s="2">
        <f t="shared" si="9"/>
        <v>44957</v>
      </c>
    </row>
    <row r="594" spans="1:8">
      <c r="A594" s="1">
        <v>45052</v>
      </c>
      <c r="B594" t="s">
        <v>7</v>
      </c>
      <c r="C594">
        <v>35</v>
      </c>
      <c r="D594" t="s">
        <v>11</v>
      </c>
      <c r="E594">
        <v>2</v>
      </c>
      <c r="F594">
        <v>30</v>
      </c>
      <c r="G594">
        <v>60</v>
      </c>
      <c r="H594" s="2">
        <f t="shared" si="9"/>
        <v>45077</v>
      </c>
    </row>
    <row r="595" spans="1:8">
      <c r="A595" s="1">
        <v>45170</v>
      </c>
      <c r="B595" t="s">
        <v>9</v>
      </c>
      <c r="C595">
        <v>19</v>
      </c>
      <c r="D595" t="s">
        <v>11</v>
      </c>
      <c r="E595">
        <v>2</v>
      </c>
      <c r="F595">
        <v>300</v>
      </c>
      <c r="G595">
        <v>600</v>
      </c>
      <c r="H595" s="2">
        <f t="shared" si="9"/>
        <v>45199</v>
      </c>
    </row>
    <row r="596" spans="1:8">
      <c r="A596" s="1">
        <v>45239</v>
      </c>
      <c r="B596" t="s">
        <v>9</v>
      </c>
      <c r="C596">
        <v>18</v>
      </c>
      <c r="D596" t="s">
        <v>10</v>
      </c>
      <c r="E596">
        <v>4</v>
      </c>
      <c r="F596">
        <v>500</v>
      </c>
      <c r="G596">
        <v>2000</v>
      </c>
      <c r="H596" s="2">
        <f t="shared" si="9"/>
        <v>45260</v>
      </c>
    </row>
    <row r="597" spans="1:8">
      <c r="A597" s="1">
        <v>44964</v>
      </c>
      <c r="B597" t="s">
        <v>9</v>
      </c>
      <c r="C597">
        <v>64</v>
      </c>
      <c r="D597" t="s">
        <v>11</v>
      </c>
      <c r="E597">
        <v>1</v>
      </c>
      <c r="F597">
        <v>300</v>
      </c>
      <c r="G597">
        <v>300</v>
      </c>
      <c r="H597" s="2">
        <f t="shared" si="9"/>
        <v>44985</v>
      </c>
    </row>
    <row r="598" spans="1:8">
      <c r="A598" s="1">
        <v>45160</v>
      </c>
      <c r="B598" t="s">
        <v>7</v>
      </c>
      <c r="C598">
        <v>22</v>
      </c>
      <c r="D598" t="s">
        <v>8</v>
      </c>
      <c r="E598">
        <v>4</v>
      </c>
      <c r="F598">
        <v>300</v>
      </c>
      <c r="G598">
        <v>1200</v>
      </c>
      <c r="H598" s="2">
        <f t="shared" si="9"/>
        <v>45169</v>
      </c>
    </row>
    <row r="599" spans="1:8">
      <c r="A599" s="1">
        <v>45139</v>
      </c>
      <c r="B599" t="s">
        <v>7</v>
      </c>
      <c r="C599">
        <v>37</v>
      </c>
      <c r="D599" t="s">
        <v>8</v>
      </c>
      <c r="E599">
        <v>4</v>
      </c>
      <c r="F599">
        <v>30</v>
      </c>
      <c r="G599">
        <v>120</v>
      </c>
      <c r="H599" s="2">
        <f t="shared" si="9"/>
        <v>45169</v>
      </c>
    </row>
    <row r="600" spans="1:8">
      <c r="A600" s="1">
        <v>45249</v>
      </c>
      <c r="B600" t="s">
        <v>9</v>
      </c>
      <c r="C600">
        <v>28</v>
      </c>
      <c r="D600" t="s">
        <v>8</v>
      </c>
      <c r="E600">
        <v>2</v>
      </c>
      <c r="F600">
        <v>50</v>
      </c>
      <c r="G600">
        <v>100</v>
      </c>
      <c r="H600" s="2">
        <f t="shared" si="9"/>
        <v>45260</v>
      </c>
    </row>
    <row r="601" spans="1:8">
      <c r="A601" s="1">
        <v>45221</v>
      </c>
      <c r="B601" t="s">
        <v>9</v>
      </c>
      <c r="C601">
        <v>59</v>
      </c>
      <c r="D601" t="s">
        <v>8</v>
      </c>
      <c r="E601">
        <v>2</v>
      </c>
      <c r="F601">
        <v>500</v>
      </c>
      <c r="G601">
        <v>1000</v>
      </c>
      <c r="H601" s="2">
        <f t="shared" si="9"/>
        <v>45230</v>
      </c>
    </row>
    <row r="602" spans="1:8">
      <c r="A602" s="1">
        <v>45026</v>
      </c>
      <c r="B602" t="s">
        <v>7</v>
      </c>
      <c r="C602">
        <v>19</v>
      </c>
      <c r="D602" t="s">
        <v>10</v>
      </c>
      <c r="E602">
        <v>1</v>
      </c>
      <c r="F602">
        <v>30</v>
      </c>
      <c r="G602">
        <v>30</v>
      </c>
      <c r="H602" s="2">
        <f t="shared" si="9"/>
        <v>45046</v>
      </c>
    </row>
    <row r="603" spans="1:8">
      <c r="A603" s="1">
        <v>45283</v>
      </c>
      <c r="B603" t="s">
        <v>9</v>
      </c>
      <c r="C603">
        <v>20</v>
      </c>
      <c r="D603" t="s">
        <v>11</v>
      </c>
      <c r="E603">
        <v>1</v>
      </c>
      <c r="F603">
        <v>300</v>
      </c>
      <c r="G603">
        <v>300</v>
      </c>
      <c r="H603" s="2">
        <f t="shared" si="9"/>
        <v>45291</v>
      </c>
    </row>
    <row r="604" spans="1:8">
      <c r="A604" s="1">
        <v>45123</v>
      </c>
      <c r="B604" t="s">
        <v>9</v>
      </c>
      <c r="C604">
        <v>40</v>
      </c>
      <c r="D604" t="s">
        <v>10</v>
      </c>
      <c r="E604">
        <v>3</v>
      </c>
      <c r="F604">
        <v>30</v>
      </c>
      <c r="G604">
        <v>90</v>
      </c>
      <c r="H604" s="2">
        <f t="shared" si="9"/>
        <v>45138</v>
      </c>
    </row>
    <row r="605" spans="1:8">
      <c r="A605" s="1">
        <v>45180</v>
      </c>
      <c r="B605" t="s">
        <v>9</v>
      </c>
      <c r="C605">
        <v>29</v>
      </c>
      <c r="D605" t="s">
        <v>11</v>
      </c>
      <c r="E605">
        <v>4</v>
      </c>
      <c r="F605">
        <v>50</v>
      </c>
      <c r="G605">
        <v>200</v>
      </c>
      <c r="H605" s="2">
        <f t="shared" si="9"/>
        <v>45199</v>
      </c>
    </row>
    <row r="606" spans="1:8">
      <c r="A606" s="1">
        <v>45131</v>
      </c>
      <c r="B606" t="s">
        <v>7</v>
      </c>
      <c r="C606">
        <v>37</v>
      </c>
      <c r="D606" t="s">
        <v>11</v>
      </c>
      <c r="E606">
        <v>2</v>
      </c>
      <c r="F606">
        <v>500</v>
      </c>
      <c r="G606">
        <v>1000</v>
      </c>
      <c r="H606" s="2">
        <f t="shared" si="9"/>
        <v>45138</v>
      </c>
    </row>
    <row r="607" spans="1:8">
      <c r="A607" s="1">
        <v>45051</v>
      </c>
      <c r="B607" t="s">
        <v>7</v>
      </c>
      <c r="C607">
        <v>22</v>
      </c>
      <c r="D607" t="s">
        <v>11</v>
      </c>
      <c r="E607">
        <v>1</v>
      </c>
      <c r="F607">
        <v>50</v>
      </c>
      <c r="G607">
        <v>50</v>
      </c>
      <c r="H607" s="2">
        <f t="shared" si="9"/>
        <v>45077</v>
      </c>
    </row>
    <row r="608" spans="1:8">
      <c r="A608" s="1">
        <v>45002</v>
      </c>
      <c r="B608" t="s">
        <v>7</v>
      </c>
      <c r="C608">
        <v>54</v>
      </c>
      <c r="D608" t="s">
        <v>10</v>
      </c>
      <c r="E608">
        <v>3</v>
      </c>
      <c r="F608">
        <v>25</v>
      </c>
      <c r="G608">
        <v>75</v>
      </c>
      <c r="H608" s="2">
        <f t="shared" si="9"/>
        <v>45016</v>
      </c>
    </row>
    <row r="609" spans="1:8">
      <c r="A609" s="1">
        <v>45262</v>
      </c>
      <c r="B609" t="s">
        <v>9</v>
      </c>
      <c r="C609">
        <v>55</v>
      </c>
      <c r="D609" t="s">
        <v>11</v>
      </c>
      <c r="E609">
        <v>3</v>
      </c>
      <c r="F609">
        <v>500</v>
      </c>
      <c r="G609">
        <v>1500</v>
      </c>
      <c r="H609" s="2">
        <f t="shared" si="9"/>
        <v>45291</v>
      </c>
    </row>
    <row r="610" spans="1:8">
      <c r="A610" s="1">
        <v>45279</v>
      </c>
      <c r="B610" t="s">
        <v>9</v>
      </c>
      <c r="C610">
        <v>47</v>
      </c>
      <c r="D610" t="s">
        <v>10</v>
      </c>
      <c r="E610">
        <v>2</v>
      </c>
      <c r="F610">
        <v>50</v>
      </c>
      <c r="G610">
        <v>100</v>
      </c>
      <c r="H610" s="2">
        <f t="shared" si="9"/>
        <v>45291</v>
      </c>
    </row>
    <row r="611" spans="1:8">
      <c r="A611" s="1">
        <v>44929</v>
      </c>
      <c r="B611" t="s">
        <v>9</v>
      </c>
      <c r="C611">
        <v>26</v>
      </c>
      <c r="D611" t="s">
        <v>8</v>
      </c>
      <c r="E611">
        <v>2</v>
      </c>
      <c r="F611">
        <v>300</v>
      </c>
      <c r="G611">
        <v>600</v>
      </c>
      <c r="H611" s="2">
        <f t="shared" si="9"/>
        <v>44957</v>
      </c>
    </row>
    <row r="612" spans="1:8">
      <c r="A612" s="1">
        <v>44981</v>
      </c>
      <c r="B612" t="s">
        <v>7</v>
      </c>
      <c r="C612">
        <v>51</v>
      </c>
      <c r="D612" t="s">
        <v>8</v>
      </c>
      <c r="E612">
        <v>3</v>
      </c>
      <c r="F612">
        <v>500</v>
      </c>
      <c r="G612">
        <v>1500</v>
      </c>
      <c r="H612" s="2">
        <f t="shared" si="9"/>
        <v>44985</v>
      </c>
    </row>
    <row r="613" spans="1:8">
      <c r="A613" s="1">
        <v>45144</v>
      </c>
      <c r="B613" t="s">
        <v>9</v>
      </c>
      <c r="C613">
        <v>61</v>
      </c>
      <c r="D613" t="s">
        <v>11</v>
      </c>
      <c r="E613">
        <v>1</v>
      </c>
      <c r="F613">
        <v>500</v>
      </c>
      <c r="G613">
        <v>500</v>
      </c>
      <c r="H613" s="2">
        <f t="shared" si="9"/>
        <v>45169</v>
      </c>
    </row>
    <row r="614" spans="1:8">
      <c r="A614" s="1">
        <v>45039</v>
      </c>
      <c r="B614" t="s">
        <v>9</v>
      </c>
      <c r="C614">
        <v>52</v>
      </c>
      <c r="D614" t="s">
        <v>10</v>
      </c>
      <c r="E614">
        <v>3</v>
      </c>
      <c r="F614">
        <v>30</v>
      </c>
      <c r="G614">
        <v>90</v>
      </c>
      <c r="H614" s="2">
        <f t="shared" si="9"/>
        <v>45046</v>
      </c>
    </row>
    <row r="615" spans="1:8">
      <c r="A615" s="1">
        <v>45017</v>
      </c>
      <c r="B615" t="s">
        <v>9</v>
      </c>
      <c r="C615">
        <v>39</v>
      </c>
      <c r="D615" t="s">
        <v>8</v>
      </c>
      <c r="E615">
        <v>4</v>
      </c>
      <c r="F615">
        <v>300</v>
      </c>
      <c r="G615">
        <v>1200</v>
      </c>
      <c r="H615" s="2">
        <f t="shared" si="9"/>
        <v>45046</v>
      </c>
    </row>
    <row r="616" spans="1:8">
      <c r="A616" s="1">
        <v>45283</v>
      </c>
      <c r="B616" t="s">
        <v>9</v>
      </c>
      <c r="C616">
        <v>61</v>
      </c>
      <c r="D616" t="s">
        <v>10</v>
      </c>
      <c r="E616">
        <v>4</v>
      </c>
      <c r="F616">
        <v>25</v>
      </c>
      <c r="G616">
        <v>100</v>
      </c>
      <c r="H616" s="2">
        <f t="shared" si="9"/>
        <v>45291</v>
      </c>
    </row>
    <row r="617" spans="1:8">
      <c r="A617" s="1">
        <v>45192</v>
      </c>
      <c r="B617" t="s">
        <v>7</v>
      </c>
      <c r="C617">
        <v>41</v>
      </c>
      <c r="D617" t="s">
        <v>10</v>
      </c>
      <c r="E617">
        <v>2</v>
      </c>
      <c r="F617">
        <v>50</v>
      </c>
      <c r="G617">
        <v>100</v>
      </c>
      <c r="H617" s="2">
        <f t="shared" si="9"/>
        <v>45199</v>
      </c>
    </row>
    <row r="618" spans="1:8">
      <c r="A618" s="1">
        <v>45164</v>
      </c>
      <c r="B618" t="s">
        <v>7</v>
      </c>
      <c r="C618">
        <v>34</v>
      </c>
      <c r="D618" t="s">
        <v>11</v>
      </c>
      <c r="E618">
        <v>1</v>
      </c>
      <c r="F618">
        <v>30</v>
      </c>
      <c r="G618">
        <v>30</v>
      </c>
      <c r="H618" s="2">
        <f t="shared" si="9"/>
        <v>45169</v>
      </c>
    </row>
    <row r="619" spans="1:8">
      <c r="A619" s="1">
        <v>44952</v>
      </c>
      <c r="B619" t="s">
        <v>9</v>
      </c>
      <c r="C619">
        <v>27</v>
      </c>
      <c r="D619" t="s">
        <v>8</v>
      </c>
      <c r="E619">
        <v>1</v>
      </c>
      <c r="F619">
        <v>50</v>
      </c>
      <c r="G619">
        <v>50</v>
      </c>
      <c r="H619" s="2">
        <f t="shared" si="9"/>
        <v>44957</v>
      </c>
    </row>
    <row r="620" spans="1:8">
      <c r="A620" s="1">
        <v>45212</v>
      </c>
      <c r="B620" t="s">
        <v>7</v>
      </c>
      <c r="C620">
        <v>47</v>
      </c>
      <c r="D620" t="s">
        <v>11</v>
      </c>
      <c r="E620">
        <v>4</v>
      </c>
      <c r="F620">
        <v>25</v>
      </c>
      <c r="G620">
        <v>100</v>
      </c>
      <c r="H620" s="2">
        <f t="shared" si="9"/>
        <v>45230</v>
      </c>
    </row>
    <row r="621" spans="1:8">
      <c r="A621" s="1">
        <v>45054</v>
      </c>
      <c r="B621" t="s">
        <v>7</v>
      </c>
      <c r="C621">
        <v>63</v>
      </c>
      <c r="D621" t="s">
        <v>11</v>
      </c>
      <c r="E621">
        <v>3</v>
      </c>
      <c r="F621">
        <v>25</v>
      </c>
      <c r="G621">
        <v>75</v>
      </c>
      <c r="H621" s="2">
        <f t="shared" si="9"/>
        <v>45077</v>
      </c>
    </row>
    <row r="622" spans="1:8">
      <c r="A622" s="1">
        <v>44989</v>
      </c>
      <c r="B622" t="s">
        <v>9</v>
      </c>
      <c r="C622">
        <v>40</v>
      </c>
      <c r="D622" t="s">
        <v>8</v>
      </c>
      <c r="E622">
        <v>2</v>
      </c>
      <c r="F622">
        <v>500</v>
      </c>
      <c r="G622">
        <v>1000</v>
      </c>
      <c r="H622" s="2">
        <f t="shared" si="9"/>
        <v>45016</v>
      </c>
    </row>
    <row r="623" spans="1:8">
      <c r="A623" s="1">
        <v>45160</v>
      </c>
      <c r="B623" t="s">
        <v>9</v>
      </c>
      <c r="C623">
        <v>49</v>
      </c>
      <c r="D623" t="s">
        <v>8</v>
      </c>
      <c r="E623">
        <v>3</v>
      </c>
      <c r="F623">
        <v>25</v>
      </c>
      <c r="G623">
        <v>75</v>
      </c>
      <c r="H623" s="2">
        <f t="shared" si="9"/>
        <v>45169</v>
      </c>
    </row>
    <row r="624" spans="1:8">
      <c r="A624" s="1">
        <v>44995</v>
      </c>
      <c r="B624" t="s">
        <v>7</v>
      </c>
      <c r="C624">
        <v>34</v>
      </c>
      <c r="D624" t="s">
        <v>10</v>
      </c>
      <c r="E624">
        <v>3</v>
      </c>
      <c r="F624">
        <v>50</v>
      </c>
      <c r="G624">
        <v>150</v>
      </c>
      <c r="H624" s="2">
        <f t="shared" si="9"/>
        <v>45016</v>
      </c>
    </row>
    <row r="625" spans="1:8">
      <c r="A625" s="1">
        <v>45164</v>
      </c>
      <c r="B625" t="s">
        <v>9</v>
      </c>
      <c r="C625">
        <v>34</v>
      </c>
      <c r="D625" t="s">
        <v>8</v>
      </c>
      <c r="E625">
        <v>3</v>
      </c>
      <c r="F625">
        <v>300</v>
      </c>
      <c r="G625">
        <v>900</v>
      </c>
      <c r="H625" s="2">
        <f t="shared" si="9"/>
        <v>45169</v>
      </c>
    </row>
    <row r="626" spans="1:8">
      <c r="A626" s="1">
        <v>45268</v>
      </c>
      <c r="B626" t="s">
        <v>7</v>
      </c>
      <c r="C626">
        <v>31</v>
      </c>
      <c r="D626" t="s">
        <v>10</v>
      </c>
      <c r="E626">
        <v>1</v>
      </c>
      <c r="F626">
        <v>300</v>
      </c>
      <c r="G626">
        <v>300</v>
      </c>
      <c r="H626" s="2">
        <f t="shared" si="9"/>
        <v>45291</v>
      </c>
    </row>
    <row r="627" spans="1:8">
      <c r="A627" s="1">
        <v>45198</v>
      </c>
      <c r="B627" t="s">
        <v>9</v>
      </c>
      <c r="C627">
        <v>26</v>
      </c>
      <c r="D627" t="s">
        <v>10</v>
      </c>
      <c r="E627">
        <v>4</v>
      </c>
      <c r="F627">
        <v>500</v>
      </c>
      <c r="G627">
        <v>2000</v>
      </c>
      <c r="H627" s="2">
        <f t="shared" si="9"/>
        <v>45199</v>
      </c>
    </row>
    <row r="628" spans="1:8">
      <c r="A628" s="1">
        <v>45213</v>
      </c>
      <c r="B628" t="s">
        <v>7</v>
      </c>
      <c r="C628">
        <v>57</v>
      </c>
      <c r="D628" t="s">
        <v>10</v>
      </c>
      <c r="E628">
        <v>1</v>
      </c>
      <c r="F628">
        <v>50</v>
      </c>
      <c r="G628">
        <v>50</v>
      </c>
      <c r="H628" s="2">
        <f t="shared" si="9"/>
        <v>45230</v>
      </c>
    </row>
    <row r="629" spans="1:8">
      <c r="A629" s="1">
        <v>45231</v>
      </c>
      <c r="B629" t="s">
        <v>9</v>
      </c>
      <c r="C629">
        <v>19</v>
      </c>
      <c r="D629" t="s">
        <v>8</v>
      </c>
      <c r="E629">
        <v>4</v>
      </c>
      <c r="F629">
        <v>50</v>
      </c>
      <c r="G629">
        <v>200</v>
      </c>
      <c r="H629" s="2">
        <f t="shared" si="9"/>
        <v>45260</v>
      </c>
    </row>
    <row r="630" spans="1:8">
      <c r="A630" s="1">
        <v>45089</v>
      </c>
      <c r="B630" t="s">
        <v>7</v>
      </c>
      <c r="C630">
        <v>62</v>
      </c>
      <c r="D630" t="s">
        <v>11</v>
      </c>
      <c r="E630">
        <v>2</v>
      </c>
      <c r="F630">
        <v>25</v>
      </c>
      <c r="G630">
        <v>50</v>
      </c>
      <c r="H630" s="2">
        <f t="shared" si="9"/>
        <v>45107</v>
      </c>
    </row>
    <row r="631" spans="1:8">
      <c r="A631" s="1">
        <v>45153</v>
      </c>
      <c r="B631" t="s">
        <v>7</v>
      </c>
      <c r="C631">
        <v>42</v>
      </c>
      <c r="D631" t="s">
        <v>10</v>
      </c>
      <c r="E631">
        <v>2</v>
      </c>
      <c r="F631">
        <v>50</v>
      </c>
      <c r="G631">
        <v>100</v>
      </c>
      <c r="H631" s="2">
        <f t="shared" si="9"/>
        <v>45169</v>
      </c>
    </row>
    <row r="632" spans="1:8">
      <c r="A632" s="1">
        <v>45240</v>
      </c>
      <c r="B632" t="s">
        <v>7</v>
      </c>
      <c r="C632">
        <v>56</v>
      </c>
      <c r="D632" t="s">
        <v>11</v>
      </c>
      <c r="E632">
        <v>3</v>
      </c>
      <c r="F632">
        <v>30</v>
      </c>
      <c r="G632">
        <v>90</v>
      </c>
      <c r="H632" s="2">
        <f t="shared" si="9"/>
        <v>45260</v>
      </c>
    </row>
    <row r="633" spans="1:8">
      <c r="A633" s="1">
        <v>45185</v>
      </c>
      <c r="B633" t="s">
        <v>9</v>
      </c>
      <c r="C633">
        <v>26</v>
      </c>
      <c r="D633" t="s">
        <v>11</v>
      </c>
      <c r="E633">
        <v>4</v>
      </c>
      <c r="F633">
        <v>25</v>
      </c>
      <c r="G633">
        <v>100</v>
      </c>
      <c r="H633" s="2">
        <f t="shared" si="9"/>
        <v>45199</v>
      </c>
    </row>
    <row r="634" spans="1:8">
      <c r="A634" s="1">
        <v>45145</v>
      </c>
      <c r="B634" t="s">
        <v>7</v>
      </c>
      <c r="C634">
        <v>39</v>
      </c>
      <c r="D634" t="s">
        <v>8</v>
      </c>
      <c r="E634">
        <v>4</v>
      </c>
      <c r="F634">
        <v>30</v>
      </c>
      <c r="G634">
        <v>120</v>
      </c>
      <c r="H634" s="2">
        <f t="shared" si="9"/>
        <v>45169</v>
      </c>
    </row>
    <row r="635" spans="1:8">
      <c r="A635" s="1">
        <v>45207</v>
      </c>
      <c r="B635" t="s">
        <v>7</v>
      </c>
      <c r="C635">
        <v>60</v>
      </c>
      <c r="D635" t="s">
        <v>11</v>
      </c>
      <c r="E635">
        <v>4</v>
      </c>
      <c r="F635">
        <v>500</v>
      </c>
      <c r="G635">
        <v>2000</v>
      </c>
      <c r="H635" s="2">
        <f t="shared" si="9"/>
        <v>45230</v>
      </c>
    </row>
    <row r="636" spans="1:8">
      <c r="A636" s="1">
        <v>45155</v>
      </c>
      <c r="B636" t="s">
        <v>9</v>
      </c>
      <c r="C636">
        <v>63</v>
      </c>
      <c r="D636" t="s">
        <v>11</v>
      </c>
      <c r="E636">
        <v>3</v>
      </c>
      <c r="F636">
        <v>300</v>
      </c>
      <c r="G636">
        <v>900</v>
      </c>
      <c r="H636" s="2">
        <f t="shared" si="9"/>
        <v>45169</v>
      </c>
    </row>
    <row r="637" spans="1:8">
      <c r="A637" s="1">
        <v>45008</v>
      </c>
      <c r="B637" t="s">
        <v>9</v>
      </c>
      <c r="C637">
        <v>21</v>
      </c>
      <c r="D637" t="s">
        <v>8</v>
      </c>
      <c r="E637">
        <v>3</v>
      </c>
      <c r="F637">
        <v>500</v>
      </c>
      <c r="G637">
        <v>1500</v>
      </c>
      <c r="H637" s="2">
        <f t="shared" si="9"/>
        <v>45016</v>
      </c>
    </row>
    <row r="638" spans="1:8">
      <c r="A638" s="1">
        <v>45170</v>
      </c>
      <c r="B638" t="s">
        <v>7</v>
      </c>
      <c r="C638">
        <v>43</v>
      </c>
      <c r="D638" t="s">
        <v>10</v>
      </c>
      <c r="E638">
        <v>2</v>
      </c>
      <c r="F638">
        <v>300</v>
      </c>
      <c r="G638">
        <v>600</v>
      </c>
      <c r="H638" s="2">
        <f t="shared" si="9"/>
        <v>45199</v>
      </c>
    </row>
    <row r="639" spans="1:8">
      <c r="A639" s="1">
        <v>45157</v>
      </c>
      <c r="B639" t="s">
        <v>7</v>
      </c>
      <c r="C639">
        <v>46</v>
      </c>
      <c r="D639" t="s">
        <v>11</v>
      </c>
      <c r="E639">
        <v>1</v>
      </c>
      <c r="F639">
        <v>500</v>
      </c>
      <c r="G639">
        <v>500</v>
      </c>
      <c r="H639" s="2">
        <f t="shared" si="9"/>
        <v>45169</v>
      </c>
    </row>
    <row r="640" spans="1:8">
      <c r="A640" s="1">
        <v>45059</v>
      </c>
      <c r="B640" t="s">
        <v>9</v>
      </c>
      <c r="C640">
        <v>62</v>
      </c>
      <c r="D640" t="s">
        <v>8</v>
      </c>
      <c r="E640">
        <v>4</v>
      </c>
      <c r="F640">
        <v>50</v>
      </c>
      <c r="G640">
        <v>200</v>
      </c>
      <c r="H640" s="2">
        <f t="shared" si="9"/>
        <v>45077</v>
      </c>
    </row>
    <row r="641" spans="1:8">
      <c r="A641" s="1">
        <v>45053</v>
      </c>
      <c r="B641" t="s">
        <v>9</v>
      </c>
      <c r="C641">
        <v>51</v>
      </c>
      <c r="D641" t="s">
        <v>11</v>
      </c>
      <c r="E641">
        <v>4</v>
      </c>
      <c r="F641">
        <v>30</v>
      </c>
      <c r="G641">
        <v>120</v>
      </c>
      <c r="H641" s="2">
        <f t="shared" si="9"/>
        <v>45077</v>
      </c>
    </row>
    <row r="642" spans="1:8">
      <c r="A642" s="1">
        <v>45253</v>
      </c>
      <c r="B642" t="s">
        <v>9</v>
      </c>
      <c r="C642">
        <v>40</v>
      </c>
      <c r="D642" t="s">
        <v>11</v>
      </c>
      <c r="E642">
        <v>1</v>
      </c>
      <c r="F642">
        <v>300</v>
      </c>
      <c r="G642">
        <v>300</v>
      </c>
      <c r="H642" s="2">
        <f t="shared" si="9"/>
        <v>45260</v>
      </c>
    </row>
    <row r="643" spans="1:8">
      <c r="A643" s="1">
        <v>45068</v>
      </c>
      <c r="B643" t="s">
        <v>9</v>
      </c>
      <c r="C643">
        <v>54</v>
      </c>
      <c r="D643" t="s">
        <v>10</v>
      </c>
      <c r="E643">
        <v>4</v>
      </c>
      <c r="F643">
        <v>25</v>
      </c>
      <c r="G643">
        <v>100</v>
      </c>
      <c r="H643" s="2">
        <f t="shared" ref="H643:H706" si="10">EOMONTH(A643,0)</f>
        <v>45077</v>
      </c>
    </row>
    <row r="644" spans="1:8">
      <c r="A644" s="1">
        <v>45193</v>
      </c>
      <c r="B644" t="s">
        <v>9</v>
      </c>
      <c r="C644">
        <v>28</v>
      </c>
      <c r="D644" t="s">
        <v>11</v>
      </c>
      <c r="E644">
        <v>3</v>
      </c>
      <c r="F644">
        <v>30</v>
      </c>
      <c r="G644">
        <v>90</v>
      </c>
      <c r="H644" s="2">
        <f t="shared" si="10"/>
        <v>45199</v>
      </c>
    </row>
    <row r="645" spans="1:8">
      <c r="A645" s="1">
        <v>45175</v>
      </c>
      <c r="B645" t="s">
        <v>7</v>
      </c>
      <c r="C645">
        <v>23</v>
      </c>
      <c r="D645" t="s">
        <v>8</v>
      </c>
      <c r="E645">
        <v>3</v>
      </c>
      <c r="F645">
        <v>25</v>
      </c>
      <c r="G645">
        <v>75</v>
      </c>
      <c r="H645" s="2">
        <f t="shared" si="10"/>
        <v>45199</v>
      </c>
    </row>
    <row r="646" spans="1:8">
      <c r="A646" s="1">
        <v>45247</v>
      </c>
      <c r="B646" t="s">
        <v>9</v>
      </c>
      <c r="C646">
        <v>35</v>
      </c>
      <c r="D646" t="s">
        <v>11</v>
      </c>
      <c r="E646">
        <v>4</v>
      </c>
      <c r="F646">
        <v>30</v>
      </c>
      <c r="G646">
        <v>120</v>
      </c>
      <c r="H646" s="2">
        <f t="shared" si="10"/>
        <v>45260</v>
      </c>
    </row>
    <row r="647" spans="1:8">
      <c r="A647" s="1">
        <v>45049</v>
      </c>
      <c r="B647" t="s">
        <v>7</v>
      </c>
      <c r="C647">
        <v>38</v>
      </c>
      <c r="D647" t="s">
        <v>10</v>
      </c>
      <c r="E647">
        <v>3</v>
      </c>
      <c r="F647">
        <v>30</v>
      </c>
      <c r="G647">
        <v>90</v>
      </c>
      <c r="H647" s="2">
        <f t="shared" si="10"/>
        <v>45077</v>
      </c>
    </row>
    <row r="648" spans="1:8">
      <c r="A648" s="1">
        <v>45067</v>
      </c>
      <c r="B648" t="s">
        <v>7</v>
      </c>
      <c r="C648">
        <v>59</v>
      </c>
      <c r="D648" t="s">
        <v>10</v>
      </c>
      <c r="E648">
        <v>3</v>
      </c>
      <c r="F648">
        <v>500</v>
      </c>
      <c r="G648">
        <v>1500</v>
      </c>
      <c r="H648" s="2">
        <f t="shared" si="10"/>
        <v>45077</v>
      </c>
    </row>
    <row r="649" spans="1:8">
      <c r="A649" s="1">
        <v>45152</v>
      </c>
      <c r="B649" t="s">
        <v>7</v>
      </c>
      <c r="C649">
        <v>53</v>
      </c>
      <c r="D649" t="s">
        <v>8</v>
      </c>
      <c r="E649">
        <v>4</v>
      </c>
      <c r="F649">
        <v>300</v>
      </c>
      <c r="G649">
        <v>1200</v>
      </c>
      <c r="H649" s="2">
        <f t="shared" si="10"/>
        <v>45169</v>
      </c>
    </row>
    <row r="650" spans="1:8">
      <c r="A650" s="1">
        <v>44966</v>
      </c>
      <c r="B650" t="s">
        <v>9</v>
      </c>
      <c r="C650">
        <v>58</v>
      </c>
      <c r="D650" t="s">
        <v>10</v>
      </c>
      <c r="E650">
        <v>2</v>
      </c>
      <c r="F650">
        <v>300</v>
      </c>
      <c r="G650">
        <v>600</v>
      </c>
      <c r="H650" s="2">
        <f t="shared" si="10"/>
        <v>44985</v>
      </c>
    </row>
    <row r="651" spans="1:8">
      <c r="A651" s="1">
        <v>45292</v>
      </c>
      <c r="B651" t="s">
        <v>7</v>
      </c>
      <c r="C651">
        <v>55</v>
      </c>
      <c r="D651" t="s">
        <v>11</v>
      </c>
      <c r="E651">
        <v>1</v>
      </c>
      <c r="F651">
        <v>30</v>
      </c>
      <c r="G651">
        <v>30</v>
      </c>
      <c r="H651" s="2">
        <f t="shared" si="10"/>
        <v>45322</v>
      </c>
    </row>
    <row r="652" spans="1:8">
      <c r="A652" s="1">
        <v>45073</v>
      </c>
      <c r="B652" t="s">
        <v>7</v>
      </c>
      <c r="C652">
        <v>51</v>
      </c>
      <c r="D652" t="s">
        <v>10</v>
      </c>
      <c r="E652">
        <v>3</v>
      </c>
      <c r="F652">
        <v>50</v>
      </c>
      <c r="G652">
        <v>150</v>
      </c>
      <c r="H652" s="2">
        <f t="shared" si="10"/>
        <v>45077</v>
      </c>
    </row>
    <row r="653" spans="1:8">
      <c r="A653" s="1">
        <v>45047</v>
      </c>
      <c r="B653" t="s">
        <v>9</v>
      </c>
      <c r="C653">
        <v>34</v>
      </c>
      <c r="D653" t="s">
        <v>8</v>
      </c>
      <c r="E653">
        <v>2</v>
      </c>
      <c r="F653">
        <v>50</v>
      </c>
      <c r="G653">
        <v>100</v>
      </c>
      <c r="H653" s="2">
        <f t="shared" si="10"/>
        <v>45077</v>
      </c>
    </row>
    <row r="654" spans="1:8">
      <c r="A654" s="1">
        <v>45066</v>
      </c>
      <c r="B654" t="s">
        <v>7</v>
      </c>
      <c r="C654">
        <v>54</v>
      </c>
      <c r="D654" t="s">
        <v>10</v>
      </c>
      <c r="E654">
        <v>3</v>
      </c>
      <c r="F654">
        <v>25</v>
      </c>
      <c r="G654">
        <v>75</v>
      </c>
      <c r="H654" s="2">
        <f t="shared" si="10"/>
        <v>45077</v>
      </c>
    </row>
    <row r="655" spans="1:8">
      <c r="A655" s="1">
        <v>45098</v>
      </c>
      <c r="B655" t="s">
        <v>7</v>
      </c>
      <c r="C655">
        <v>42</v>
      </c>
      <c r="D655" t="s">
        <v>10</v>
      </c>
      <c r="E655">
        <v>3</v>
      </c>
      <c r="F655">
        <v>25</v>
      </c>
      <c r="G655">
        <v>75</v>
      </c>
      <c r="H655" s="2">
        <f t="shared" si="10"/>
        <v>45107</v>
      </c>
    </row>
    <row r="656" spans="1:8">
      <c r="A656" s="1">
        <v>45090</v>
      </c>
      <c r="B656" t="s">
        <v>9</v>
      </c>
      <c r="C656">
        <v>55</v>
      </c>
      <c r="D656" t="s">
        <v>10</v>
      </c>
      <c r="E656">
        <v>1</v>
      </c>
      <c r="F656">
        <v>500</v>
      </c>
      <c r="G656">
        <v>500</v>
      </c>
      <c r="H656" s="2">
        <f t="shared" si="10"/>
        <v>45107</v>
      </c>
    </row>
    <row r="657" spans="1:8">
      <c r="A657" s="1">
        <v>45203</v>
      </c>
      <c r="B657" t="s">
        <v>7</v>
      </c>
      <c r="C657">
        <v>29</v>
      </c>
      <c r="D657" t="s">
        <v>8</v>
      </c>
      <c r="E657">
        <v>3</v>
      </c>
      <c r="F657">
        <v>30</v>
      </c>
      <c r="G657">
        <v>90</v>
      </c>
      <c r="H657" s="2">
        <f t="shared" si="10"/>
        <v>45230</v>
      </c>
    </row>
    <row r="658" spans="1:8">
      <c r="A658" s="1">
        <v>44968</v>
      </c>
      <c r="B658" t="s">
        <v>7</v>
      </c>
      <c r="C658">
        <v>40</v>
      </c>
      <c r="D658" t="s">
        <v>10</v>
      </c>
      <c r="E658">
        <v>1</v>
      </c>
      <c r="F658">
        <v>25</v>
      </c>
      <c r="G658">
        <v>25</v>
      </c>
      <c r="H658" s="2">
        <f t="shared" si="10"/>
        <v>44985</v>
      </c>
    </row>
    <row r="659" spans="1:8">
      <c r="A659" s="1">
        <v>44997</v>
      </c>
      <c r="B659" t="s">
        <v>7</v>
      </c>
      <c r="C659">
        <v>59</v>
      </c>
      <c r="D659" t="s">
        <v>10</v>
      </c>
      <c r="E659">
        <v>1</v>
      </c>
      <c r="F659">
        <v>25</v>
      </c>
      <c r="G659">
        <v>25</v>
      </c>
      <c r="H659" s="2">
        <f t="shared" si="10"/>
        <v>45016</v>
      </c>
    </row>
    <row r="660" spans="1:8">
      <c r="A660" s="1">
        <v>45004</v>
      </c>
      <c r="B660" t="s">
        <v>9</v>
      </c>
      <c r="C660">
        <v>39</v>
      </c>
      <c r="D660" t="s">
        <v>11</v>
      </c>
      <c r="E660">
        <v>1</v>
      </c>
      <c r="F660">
        <v>30</v>
      </c>
      <c r="G660">
        <v>30</v>
      </c>
      <c r="H660" s="2">
        <f t="shared" si="10"/>
        <v>45016</v>
      </c>
    </row>
    <row r="661" spans="1:8">
      <c r="A661" s="1">
        <v>45045</v>
      </c>
      <c r="B661" t="s">
        <v>9</v>
      </c>
      <c r="C661">
        <v>38</v>
      </c>
      <c r="D661" t="s">
        <v>8</v>
      </c>
      <c r="E661">
        <v>2</v>
      </c>
      <c r="F661">
        <v>500</v>
      </c>
      <c r="G661">
        <v>1000</v>
      </c>
      <c r="H661" s="2">
        <f t="shared" si="10"/>
        <v>45046</v>
      </c>
    </row>
    <row r="662" spans="1:8">
      <c r="A662" s="1">
        <v>45123</v>
      </c>
      <c r="B662" t="s">
        <v>9</v>
      </c>
      <c r="C662">
        <v>44</v>
      </c>
      <c r="D662" t="s">
        <v>10</v>
      </c>
      <c r="E662">
        <v>4</v>
      </c>
      <c r="F662">
        <v>25</v>
      </c>
      <c r="G662">
        <v>100</v>
      </c>
      <c r="H662" s="2">
        <f t="shared" si="10"/>
        <v>45138</v>
      </c>
    </row>
    <row r="663" spans="1:8">
      <c r="A663" s="1">
        <v>45282</v>
      </c>
      <c r="B663" t="s">
        <v>7</v>
      </c>
      <c r="C663">
        <v>48</v>
      </c>
      <c r="D663" t="s">
        <v>8</v>
      </c>
      <c r="E663">
        <v>2</v>
      </c>
      <c r="F663">
        <v>500</v>
      </c>
      <c r="G663">
        <v>1000</v>
      </c>
      <c r="H663" s="2">
        <f t="shared" si="10"/>
        <v>45291</v>
      </c>
    </row>
    <row r="664" spans="1:8">
      <c r="A664" s="1">
        <v>45005</v>
      </c>
      <c r="B664" t="s">
        <v>7</v>
      </c>
      <c r="C664">
        <v>23</v>
      </c>
      <c r="D664" t="s">
        <v>10</v>
      </c>
      <c r="E664">
        <v>4</v>
      </c>
      <c r="F664">
        <v>300</v>
      </c>
      <c r="G664">
        <v>1200</v>
      </c>
      <c r="H664" s="2">
        <f t="shared" si="10"/>
        <v>45016</v>
      </c>
    </row>
    <row r="665" spans="1:8">
      <c r="A665" s="1">
        <v>45288</v>
      </c>
      <c r="B665" t="s">
        <v>9</v>
      </c>
      <c r="C665">
        <v>44</v>
      </c>
      <c r="D665" t="s">
        <v>10</v>
      </c>
      <c r="E665">
        <v>4</v>
      </c>
      <c r="F665">
        <v>500</v>
      </c>
      <c r="G665">
        <v>2000</v>
      </c>
      <c r="H665" s="2">
        <f t="shared" si="10"/>
        <v>45291</v>
      </c>
    </row>
    <row r="666" spans="1:8">
      <c r="A666" s="1">
        <v>45036</v>
      </c>
      <c r="B666" t="s">
        <v>7</v>
      </c>
      <c r="C666">
        <v>57</v>
      </c>
      <c r="D666" t="s">
        <v>10</v>
      </c>
      <c r="E666">
        <v>1</v>
      </c>
      <c r="F666">
        <v>50</v>
      </c>
      <c r="G666">
        <v>50</v>
      </c>
      <c r="H666" s="2">
        <f t="shared" si="10"/>
        <v>45046</v>
      </c>
    </row>
    <row r="667" spans="1:8">
      <c r="A667" s="1">
        <v>44959</v>
      </c>
      <c r="B667" t="s">
        <v>7</v>
      </c>
      <c r="C667">
        <v>51</v>
      </c>
      <c r="D667" t="s">
        <v>11</v>
      </c>
      <c r="E667">
        <v>3</v>
      </c>
      <c r="F667">
        <v>50</v>
      </c>
      <c r="G667">
        <v>150</v>
      </c>
      <c r="H667" s="2">
        <f t="shared" si="10"/>
        <v>44985</v>
      </c>
    </row>
    <row r="668" spans="1:8">
      <c r="A668" s="1">
        <v>45139</v>
      </c>
      <c r="B668" t="s">
        <v>9</v>
      </c>
      <c r="C668">
        <v>29</v>
      </c>
      <c r="D668" t="s">
        <v>11</v>
      </c>
      <c r="E668">
        <v>1</v>
      </c>
      <c r="F668">
        <v>500</v>
      </c>
      <c r="G668">
        <v>500</v>
      </c>
      <c r="H668" s="2">
        <f t="shared" si="10"/>
        <v>45169</v>
      </c>
    </row>
    <row r="669" spans="1:8">
      <c r="A669" s="1">
        <v>45135</v>
      </c>
      <c r="B669" t="s">
        <v>9</v>
      </c>
      <c r="C669">
        <v>62</v>
      </c>
      <c r="D669" t="s">
        <v>11</v>
      </c>
      <c r="E669">
        <v>3</v>
      </c>
      <c r="F669">
        <v>50</v>
      </c>
      <c r="G669">
        <v>150</v>
      </c>
      <c r="H669" s="2">
        <f t="shared" si="10"/>
        <v>45138</v>
      </c>
    </row>
    <row r="670" spans="1:8">
      <c r="A670" s="1">
        <v>45096</v>
      </c>
      <c r="B670" t="s">
        <v>7</v>
      </c>
      <c r="C670">
        <v>24</v>
      </c>
      <c r="D670" t="s">
        <v>8</v>
      </c>
      <c r="E670">
        <v>4</v>
      </c>
      <c r="F670">
        <v>300</v>
      </c>
      <c r="G670">
        <v>1200</v>
      </c>
      <c r="H670" s="2">
        <f t="shared" si="10"/>
        <v>45107</v>
      </c>
    </row>
    <row r="671" spans="1:8">
      <c r="A671" s="1">
        <v>45204</v>
      </c>
      <c r="B671" t="s">
        <v>7</v>
      </c>
      <c r="C671">
        <v>27</v>
      </c>
      <c r="D671" t="s">
        <v>8</v>
      </c>
      <c r="E671">
        <v>1</v>
      </c>
      <c r="F671">
        <v>30</v>
      </c>
      <c r="G671">
        <v>30</v>
      </c>
      <c r="H671" s="2">
        <f t="shared" si="10"/>
        <v>45230</v>
      </c>
    </row>
    <row r="672" spans="1:8">
      <c r="A672" s="1">
        <v>45165</v>
      </c>
      <c r="B672" t="s">
        <v>7</v>
      </c>
      <c r="C672">
        <v>62</v>
      </c>
      <c r="D672" t="s">
        <v>11</v>
      </c>
      <c r="E672">
        <v>3</v>
      </c>
      <c r="F672">
        <v>50</v>
      </c>
      <c r="G672">
        <v>150</v>
      </c>
      <c r="H672" s="2">
        <f t="shared" si="10"/>
        <v>45169</v>
      </c>
    </row>
    <row r="673" spans="1:8">
      <c r="A673" s="1">
        <v>45139</v>
      </c>
      <c r="B673" t="s">
        <v>9</v>
      </c>
      <c r="C673">
        <v>34</v>
      </c>
      <c r="D673" t="s">
        <v>8</v>
      </c>
      <c r="E673">
        <v>2</v>
      </c>
      <c r="F673">
        <v>50</v>
      </c>
      <c r="G673">
        <v>100</v>
      </c>
      <c r="H673" s="2">
        <f t="shared" si="10"/>
        <v>45169</v>
      </c>
    </row>
    <row r="674" spans="1:8">
      <c r="A674" s="1">
        <v>44958</v>
      </c>
      <c r="B674" t="s">
        <v>9</v>
      </c>
      <c r="C674">
        <v>43</v>
      </c>
      <c r="D674" t="s">
        <v>10</v>
      </c>
      <c r="E674">
        <v>3</v>
      </c>
      <c r="F674">
        <v>500</v>
      </c>
      <c r="G674">
        <v>1500</v>
      </c>
      <c r="H674" s="2">
        <f t="shared" si="10"/>
        <v>44985</v>
      </c>
    </row>
    <row r="675" spans="1:8">
      <c r="A675" s="1">
        <v>45032</v>
      </c>
      <c r="B675" t="s">
        <v>9</v>
      </c>
      <c r="C675">
        <v>38</v>
      </c>
      <c r="D675" t="s">
        <v>10</v>
      </c>
      <c r="E675">
        <v>1</v>
      </c>
      <c r="F675">
        <v>300</v>
      </c>
      <c r="G675">
        <v>300</v>
      </c>
      <c r="H675" s="2">
        <f t="shared" si="10"/>
        <v>45046</v>
      </c>
    </row>
    <row r="676" spans="1:8">
      <c r="A676" s="1">
        <v>45142</v>
      </c>
      <c r="B676" t="s">
        <v>9</v>
      </c>
      <c r="C676">
        <v>45</v>
      </c>
      <c r="D676" t="s">
        <v>10</v>
      </c>
      <c r="E676">
        <v>2</v>
      </c>
      <c r="F676">
        <v>30</v>
      </c>
      <c r="G676">
        <v>60</v>
      </c>
      <c r="H676" s="2">
        <f t="shared" si="10"/>
        <v>45169</v>
      </c>
    </row>
    <row r="677" spans="1:8">
      <c r="A677" s="1">
        <v>45126</v>
      </c>
      <c r="B677" t="s">
        <v>7</v>
      </c>
      <c r="C677">
        <v>63</v>
      </c>
      <c r="D677" t="s">
        <v>11</v>
      </c>
      <c r="E677">
        <v>3</v>
      </c>
      <c r="F677">
        <v>500</v>
      </c>
      <c r="G677">
        <v>1500</v>
      </c>
      <c r="H677" s="2">
        <f t="shared" si="10"/>
        <v>45138</v>
      </c>
    </row>
    <row r="678" spans="1:8">
      <c r="A678" s="1">
        <v>45226</v>
      </c>
      <c r="B678" t="s">
        <v>9</v>
      </c>
      <c r="C678">
        <v>19</v>
      </c>
      <c r="D678" t="s">
        <v>8</v>
      </c>
      <c r="E678">
        <v>3</v>
      </c>
      <c r="F678">
        <v>500</v>
      </c>
      <c r="G678">
        <v>1500</v>
      </c>
      <c r="H678" s="2">
        <f t="shared" si="10"/>
        <v>45230</v>
      </c>
    </row>
    <row r="679" spans="1:8">
      <c r="A679" s="1">
        <v>45283</v>
      </c>
      <c r="B679" t="s">
        <v>9</v>
      </c>
      <c r="C679">
        <v>60</v>
      </c>
      <c r="D679" t="s">
        <v>11</v>
      </c>
      <c r="E679">
        <v>3</v>
      </c>
      <c r="F679">
        <v>300</v>
      </c>
      <c r="G679">
        <v>900</v>
      </c>
      <c r="H679" s="2">
        <f t="shared" si="10"/>
        <v>45291</v>
      </c>
    </row>
    <row r="680" spans="1:8">
      <c r="A680" s="1">
        <v>44937</v>
      </c>
      <c r="B680" t="s">
        <v>9</v>
      </c>
      <c r="C680">
        <v>18</v>
      </c>
      <c r="D680" t="s">
        <v>8</v>
      </c>
      <c r="E680">
        <v>3</v>
      </c>
      <c r="F680">
        <v>30</v>
      </c>
      <c r="G680">
        <v>90</v>
      </c>
      <c r="H680" s="2">
        <f t="shared" si="10"/>
        <v>44957</v>
      </c>
    </row>
    <row r="681" spans="1:8">
      <c r="A681" s="1">
        <v>45221</v>
      </c>
      <c r="B681" t="s">
        <v>9</v>
      </c>
      <c r="C681">
        <v>53</v>
      </c>
      <c r="D681" t="s">
        <v>10</v>
      </c>
      <c r="E681">
        <v>3</v>
      </c>
      <c r="F681">
        <v>300</v>
      </c>
      <c r="G681">
        <v>900</v>
      </c>
      <c r="H681" s="2">
        <f t="shared" si="10"/>
        <v>45230</v>
      </c>
    </row>
    <row r="682" spans="1:8">
      <c r="A682" s="1">
        <v>45121</v>
      </c>
      <c r="B682" t="s">
        <v>9</v>
      </c>
      <c r="C682">
        <v>43</v>
      </c>
      <c r="D682" t="s">
        <v>11</v>
      </c>
      <c r="E682">
        <v>2</v>
      </c>
      <c r="F682">
        <v>30</v>
      </c>
      <c r="G682">
        <v>60</v>
      </c>
      <c r="H682" s="2">
        <f t="shared" si="10"/>
        <v>45138</v>
      </c>
    </row>
    <row r="683" spans="1:8">
      <c r="A683" s="1">
        <v>45171</v>
      </c>
      <c r="B683" t="s">
        <v>7</v>
      </c>
      <c r="C683">
        <v>46</v>
      </c>
      <c r="D683" t="s">
        <v>8</v>
      </c>
      <c r="E683">
        <v>4</v>
      </c>
      <c r="F683">
        <v>300</v>
      </c>
      <c r="G683">
        <v>1200</v>
      </c>
      <c r="H683" s="2">
        <f t="shared" si="10"/>
        <v>45199</v>
      </c>
    </row>
    <row r="684" spans="1:8">
      <c r="A684" s="1">
        <v>44930</v>
      </c>
      <c r="B684" t="s">
        <v>7</v>
      </c>
      <c r="C684">
        <v>38</v>
      </c>
      <c r="D684" t="s">
        <v>8</v>
      </c>
      <c r="E684">
        <v>2</v>
      </c>
      <c r="F684">
        <v>500</v>
      </c>
      <c r="G684">
        <v>1000</v>
      </c>
      <c r="H684" s="2">
        <f t="shared" si="10"/>
        <v>44957</v>
      </c>
    </row>
    <row r="685" spans="1:8">
      <c r="A685" s="1">
        <v>45107</v>
      </c>
      <c r="B685" t="s">
        <v>9</v>
      </c>
      <c r="C685">
        <v>28</v>
      </c>
      <c r="D685" t="s">
        <v>10</v>
      </c>
      <c r="E685">
        <v>2</v>
      </c>
      <c r="F685">
        <v>500</v>
      </c>
      <c r="G685">
        <v>1000</v>
      </c>
      <c r="H685" s="2">
        <f t="shared" si="10"/>
        <v>45107</v>
      </c>
    </row>
    <row r="686" spans="1:8">
      <c r="A686" s="1">
        <v>45079</v>
      </c>
      <c r="B686" t="s">
        <v>7</v>
      </c>
      <c r="C686">
        <v>57</v>
      </c>
      <c r="D686" t="s">
        <v>11</v>
      </c>
      <c r="E686">
        <v>2</v>
      </c>
      <c r="F686">
        <v>25</v>
      </c>
      <c r="G686">
        <v>50</v>
      </c>
      <c r="H686" s="2">
        <f t="shared" si="10"/>
        <v>45107</v>
      </c>
    </row>
    <row r="687" spans="1:8">
      <c r="A687" s="1">
        <v>45126</v>
      </c>
      <c r="B687" t="s">
        <v>9</v>
      </c>
      <c r="C687">
        <v>28</v>
      </c>
      <c r="D687" t="s">
        <v>11</v>
      </c>
      <c r="E687">
        <v>4</v>
      </c>
      <c r="F687">
        <v>50</v>
      </c>
      <c r="G687">
        <v>200</v>
      </c>
      <c r="H687" s="2">
        <f t="shared" si="10"/>
        <v>45138</v>
      </c>
    </row>
    <row r="688" spans="1:8">
      <c r="A688" s="1">
        <v>45141</v>
      </c>
      <c r="B688" t="s">
        <v>9</v>
      </c>
      <c r="C688">
        <v>53</v>
      </c>
      <c r="D688" t="s">
        <v>11</v>
      </c>
      <c r="E688">
        <v>1</v>
      </c>
      <c r="F688">
        <v>300</v>
      </c>
      <c r="G688">
        <v>300</v>
      </c>
      <c r="H688" s="2">
        <f t="shared" si="10"/>
        <v>45169</v>
      </c>
    </row>
    <row r="689" spans="1:8">
      <c r="A689" s="1">
        <v>45202</v>
      </c>
      <c r="B689" t="s">
        <v>7</v>
      </c>
      <c r="C689">
        <v>56</v>
      </c>
      <c r="D689" t="s">
        <v>10</v>
      </c>
      <c r="E689">
        <v>4</v>
      </c>
      <c r="F689">
        <v>25</v>
      </c>
      <c r="G689">
        <v>100</v>
      </c>
      <c r="H689" s="2">
        <f t="shared" si="10"/>
        <v>45230</v>
      </c>
    </row>
    <row r="690" spans="1:8">
      <c r="A690" s="1">
        <v>45206</v>
      </c>
      <c r="B690" t="s">
        <v>7</v>
      </c>
      <c r="C690">
        <v>57</v>
      </c>
      <c r="D690" t="s">
        <v>11</v>
      </c>
      <c r="E690">
        <v>2</v>
      </c>
      <c r="F690">
        <v>50</v>
      </c>
      <c r="G690">
        <v>100</v>
      </c>
      <c r="H690" s="2">
        <f t="shared" si="10"/>
        <v>45230</v>
      </c>
    </row>
    <row r="691" spans="1:8">
      <c r="A691" s="1">
        <v>45235</v>
      </c>
      <c r="B691" t="s">
        <v>9</v>
      </c>
      <c r="C691">
        <v>52</v>
      </c>
      <c r="D691" t="s">
        <v>10</v>
      </c>
      <c r="E691">
        <v>3</v>
      </c>
      <c r="F691">
        <v>300</v>
      </c>
      <c r="G691">
        <v>900</v>
      </c>
      <c r="H691" s="2">
        <f t="shared" si="10"/>
        <v>45260</v>
      </c>
    </row>
    <row r="692" spans="1:8">
      <c r="A692" s="1">
        <v>45039</v>
      </c>
      <c r="B692" t="s">
        <v>9</v>
      </c>
      <c r="C692">
        <v>51</v>
      </c>
      <c r="D692" t="s">
        <v>10</v>
      </c>
      <c r="E692">
        <v>3</v>
      </c>
      <c r="F692">
        <v>30</v>
      </c>
      <c r="G692">
        <v>90</v>
      </c>
      <c r="H692" s="2">
        <f t="shared" si="10"/>
        <v>45046</v>
      </c>
    </row>
    <row r="693" spans="1:8">
      <c r="A693" s="1">
        <v>45176</v>
      </c>
      <c r="B693" t="s">
        <v>9</v>
      </c>
      <c r="C693">
        <v>64</v>
      </c>
      <c r="D693" t="s">
        <v>10</v>
      </c>
      <c r="E693">
        <v>2</v>
      </c>
      <c r="F693">
        <v>50</v>
      </c>
      <c r="G693">
        <v>100</v>
      </c>
      <c r="H693" s="2">
        <f t="shared" si="10"/>
        <v>45199</v>
      </c>
    </row>
    <row r="694" spans="1:8">
      <c r="A694" s="1">
        <v>45039</v>
      </c>
      <c r="B694" t="s">
        <v>7</v>
      </c>
      <c r="C694">
        <v>41</v>
      </c>
      <c r="D694" t="s">
        <v>8</v>
      </c>
      <c r="E694">
        <v>3</v>
      </c>
      <c r="F694">
        <v>500</v>
      </c>
      <c r="G694">
        <v>1500</v>
      </c>
      <c r="H694" s="2">
        <f t="shared" si="10"/>
        <v>45046</v>
      </c>
    </row>
    <row r="695" spans="1:8">
      <c r="A695" s="1">
        <v>45066</v>
      </c>
      <c r="B695" t="s">
        <v>9</v>
      </c>
      <c r="C695">
        <v>39</v>
      </c>
      <c r="D695" t="s">
        <v>11</v>
      </c>
      <c r="E695">
        <v>2</v>
      </c>
      <c r="F695">
        <v>25</v>
      </c>
      <c r="G695">
        <v>50</v>
      </c>
      <c r="H695" s="2">
        <f t="shared" si="10"/>
        <v>45077</v>
      </c>
    </row>
    <row r="696" spans="1:8">
      <c r="A696" s="1">
        <v>45150</v>
      </c>
      <c r="B696" t="s">
        <v>9</v>
      </c>
      <c r="C696">
        <v>22</v>
      </c>
      <c r="D696" t="s">
        <v>11</v>
      </c>
      <c r="E696">
        <v>3</v>
      </c>
      <c r="F696">
        <v>50</v>
      </c>
      <c r="G696">
        <v>150</v>
      </c>
      <c r="H696" s="2">
        <f t="shared" si="10"/>
        <v>45169</v>
      </c>
    </row>
    <row r="697" spans="1:8">
      <c r="A697" s="1">
        <v>45175</v>
      </c>
      <c r="B697" t="s">
        <v>9</v>
      </c>
      <c r="C697">
        <v>50</v>
      </c>
      <c r="D697" t="s">
        <v>10</v>
      </c>
      <c r="E697">
        <v>4</v>
      </c>
      <c r="F697">
        <v>50</v>
      </c>
      <c r="G697">
        <v>200</v>
      </c>
      <c r="H697" s="2">
        <f t="shared" si="10"/>
        <v>45199</v>
      </c>
    </row>
    <row r="698" spans="1:8">
      <c r="A698" s="1">
        <v>44941</v>
      </c>
      <c r="B698" t="s">
        <v>7</v>
      </c>
      <c r="C698">
        <v>53</v>
      </c>
      <c r="D698" t="s">
        <v>10</v>
      </c>
      <c r="E698">
        <v>1</v>
      </c>
      <c r="F698">
        <v>500</v>
      </c>
      <c r="G698">
        <v>500</v>
      </c>
      <c r="H698" s="2">
        <f t="shared" si="10"/>
        <v>44957</v>
      </c>
    </row>
    <row r="699" spans="1:8">
      <c r="A699" s="1">
        <v>45126</v>
      </c>
      <c r="B699" t="s">
        <v>9</v>
      </c>
      <c r="C699">
        <v>64</v>
      </c>
      <c r="D699" t="s">
        <v>11</v>
      </c>
      <c r="E699">
        <v>1</v>
      </c>
      <c r="F699">
        <v>300</v>
      </c>
      <c r="G699">
        <v>300</v>
      </c>
      <c r="H699" s="2">
        <f t="shared" si="10"/>
        <v>45138</v>
      </c>
    </row>
    <row r="700" spans="1:8">
      <c r="A700" s="1">
        <v>45099</v>
      </c>
      <c r="B700" t="s">
        <v>9</v>
      </c>
      <c r="C700">
        <v>37</v>
      </c>
      <c r="D700" t="s">
        <v>10</v>
      </c>
      <c r="E700">
        <v>4</v>
      </c>
      <c r="F700">
        <v>30</v>
      </c>
      <c r="G700">
        <v>120</v>
      </c>
      <c r="H700" s="2">
        <f t="shared" si="10"/>
        <v>45107</v>
      </c>
    </row>
    <row r="701" spans="1:8">
      <c r="A701" s="1">
        <v>45269</v>
      </c>
      <c r="B701" t="s">
        <v>7</v>
      </c>
      <c r="C701">
        <v>36</v>
      </c>
      <c r="D701" t="s">
        <v>11</v>
      </c>
      <c r="E701">
        <v>4</v>
      </c>
      <c r="F701">
        <v>500</v>
      </c>
      <c r="G701">
        <v>2000</v>
      </c>
      <c r="H701" s="2">
        <f t="shared" si="10"/>
        <v>45291</v>
      </c>
    </row>
    <row r="702" spans="1:8">
      <c r="A702" s="1">
        <v>45274</v>
      </c>
      <c r="B702" t="s">
        <v>9</v>
      </c>
      <c r="C702">
        <v>52</v>
      </c>
      <c r="D702" t="s">
        <v>8</v>
      </c>
      <c r="E702">
        <v>2</v>
      </c>
      <c r="F702">
        <v>30</v>
      </c>
      <c r="G702">
        <v>60</v>
      </c>
      <c r="H702" s="2">
        <f t="shared" si="10"/>
        <v>45291</v>
      </c>
    </row>
    <row r="703" spans="1:8">
      <c r="A703" s="1">
        <v>45134</v>
      </c>
      <c r="B703" t="s">
        <v>9</v>
      </c>
      <c r="C703">
        <v>60</v>
      </c>
      <c r="D703" t="s">
        <v>10</v>
      </c>
      <c r="E703">
        <v>2</v>
      </c>
      <c r="F703">
        <v>300</v>
      </c>
      <c r="G703">
        <v>600</v>
      </c>
      <c r="H703" s="2">
        <f t="shared" si="10"/>
        <v>45138</v>
      </c>
    </row>
    <row r="704" spans="1:8">
      <c r="A704" s="1">
        <v>45011</v>
      </c>
      <c r="B704" t="s">
        <v>7</v>
      </c>
      <c r="C704">
        <v>34</v>
      </c>
      <c r="D704" t="s">
        <v>11</v>
      </c>
      <c r="E704">
        <v>2</v>
      </c>
      <c r="F704">
        <v>50</v>
      </c>
      <c r="G704">
        <v>100</v>
      </c>
      <c r="H704" s="2">
        <f t="shared" si="10"/>
        <v>45016</v>
      </c>
    </row>
    <row r="705" spans="1:8">
      <c r="A705" s="1">
        <v>45166</v>
      </c>
      <c r="B705" t="s">
        <v>9</v>
      </c>
      <c r="C705">
        <v>62</v>
      </c>
      <c r="D705" t="s">
        <v>10</v>
      </c>
      <c r="E705">
        <v>3</v>
      </c>
      <c r="F705">
        <v>30</v>
      </c>
      <c r="G705">
        <v>90</v>
      </c>
      <c r="H705" s="2">
        <f t="shared" si="10"/>
        <v>45169</v>
      </c>
    </row>
    <row r="706" spans="1:8">
      <c r="A706" s="1">
        <v>44992</v>
      </c>
      <c r="B706" t="s">
        <v>7</v>
      </c>
      <c r="C706">
        <v>60</v>
      </c>
      <c r="D706" t="s">
        <v>11</v>
      </c>
      <c r="E706">
        <v>2</v>
      </c>
      <c r="F706">
        <v>25</v>
      </c>
      <c r="G706">
        <v>50</v>
      </c>
      <c r="H706" s="2">
        <f t="shared" si="10"/>
        <v>45016</v>
      </c>
    </row>
    <row r="707" spans="1:8">
      <c r="A707" s="1">
        <v>45245</v>
      </c>
      <c r="B707" t="s">
        <v>7</v>
      </c>
      <c r="C707">
        <v>51</v>
      </c>
      <c r="D707" t="s">
        <v>11</v>
      </c>
      <c r="E707">
        <v>4</v>
      </c>
      <c r="F707">
        <v>25</v>
      </c>
      <c r="G707">
        <v>100</v>
      </c>
      <c r="H707" s="2">
        <f t="shared" ref="H707:H770" si="11">EOMONTH(A707,0)</f>
        <v>45260</v>
      </c>
    </row>
    <row r="708" spans="1:8">
      <c r="A708" s="1">
        <v>45200</v>
      </c>
      <c r="B708" t="s">
        <v>9</v>
      </c>
      <c r="C708">
        <v>26</v>
      </c>
      <c r="D708" t="s">
        <v>10</v>
      </c>
      <c r="E708">
        <v>1</v>
      </c>
      <c r="F708">
        <v>500</v>
      </c>
      <c r="G708">
        <v>500</v>
      </c>
      <c r="H708" s="2">
        <f t="shared" si="11"/>
        <v>45230</v>
      </c>
    </row>
    <row r="709" spans="1:8">
      <c r="A709" s="1">
        <v>44940</v>
      </c>
      <c r="B709" t="s">
        <v>9</v>
      </c>
      <c r="C709">
        <v>43</v>
      </c>
      <c r="D709" t="s">
        <v>8</v>
      </c>
      <c r="E709">
        <v>3</v>
      </c>
      <c r="F709">
        <v>300</v>
      </c>
      <c r="G709">
        <v>900</v>
      </c>
      <c r="H709" s="2">
        <f t="shared" si="11"/>
        <v>44957</v>
      </c>
    </row>
    <row r="710" spans="1:8">
      <c r="A710" s="1">
        <v>45128</v>
      </c>
      <c r="B710" t="s">
        <v>9</v>
      </c>
      <c r="C710">
        <v>19</v>
      </c>
      <c r="D710" t="s">
        <v>11</v>
      </c>
      <c r="E710">
        <v>2</v>
      </c>
      <c r="F710">
        <v>500</v>
      </c>
      <c r="G710">
        <v>1000</v>
      </c>
      <c r="H710" s="2">
        <f t="shared" si="11"/>
        <v>45138</v>
      </c>
    </row>
    <row r="711" spans="1:8">
      <c r="A711" s="1">
        <v>45230</v>
      </c>
      <c r="B711" t="s">
        <v>9</v>
      </c>
      <c r="C711">
        <v>26</v>
      </c>
      <c r="D711" t="s">
        <v>11</v>
      </c>
      <c r="E711">
        <v>3</v>
      </c>
      <c r="F711">
        <v>500</v>
      </c>
      <c r="G711">
        <v>1500</v>
      </c>
      <c r="H711" s="2">
        <f t="shared" si="11"/>
        <v>45230</v>
      </c>
    </row>
    <row r="712" spans="1:8">
      <c r="A712" s="1">
        <v>45215</v>
      </c>
      <c r="B712" t="s">
        <v>7</v>
      </c>
      <c r="C712">
        <v>26</v>
      </c>
      <c r="D712" t="s">
        <v>11</v>
      </c>
      <c r="E712">
        <v>3</v>
      </c>
      <c r="F712">
        <v>500</v>
      </c>
      <c r="G712">
        <v>1500</v>
      </c>
      <c r="H712" s="2">
        <f t="shared" si="11"/>
        <v>45230</v>
      </c>
    </row>
    <row r="713" spans="1:8">
      <c r="A713" s="1">
        <v>45266</v>
      </c>
      <c r="B713" t="s">
        <v>9</v>
      </c>
      <c r="C713">
        <v>57</v>
      </c>
      <c r="D713" t="s">
        <v>8</v>
      </c>
      <c r="E713">
        <v>2</v>
      </c>
      <c r="F713">
        <v>25</v>
      </c>
      <c r="G713">
        <v>50</v>
      </c>
      <c r="H713" s="2">
        <f t="shared" si="11"/>
        <v>45291</v>
      </c>
    </row>
    <row r="714" spans="1:8">
      <c r="A714" s="1">
        <v>44940</v>
      </c>
      <c r="B714" t="s">
        <v>7</v>
      </c>
      <c r="C714">
        <v>34</v>
      </c>
      <c r="D714" t="s">
        <v>8</v>
      </c>
      <c r="E714">
        <v>3</v>
      </c>
      <c r="F714">
        <v>25</v>
      </c>
      <c r="G714">
        <v>75</v>
      </c>
      <c r="H714" s="2">
        <f t="shared" si="11"/>
        <v>44957</v>
      </c>
    </row>
    <row r="715" spans="1:8">
      <c r="A715" s="1">
        <v>44969</v>
      </c>
      <c r="B715" t="s">
        <v>9</v>
      </c>
      <c r="C715">
        <v>18</v>
      </c>
      <c r="D715" t="s">
        <v>10</v>
      </c>
      <c r="E715">
        <v>1</v>
      </c>
      <c r="F715">
        <v>500</v>
      </c>
      <c r="G715">
        <v>500</v>
      </c>
      <c r="H715" s="2">
        <f t="shared" si="11"/>
        <v>44985</v>
      </c>
    </row>
    <row r="716" spans="1:8">
      <c r="A716" s="1">
        <v>45256</v>
      </c>
      <c r="B716" t="s">
        <v>9</v>
      </c>
      <c r="C716">
        <v>42</v>
      </c>
      <c r="D716" t="s">
        <v>8</v>
      </c>
      <c r="E716">
        <v>4</v>
      </c>
      <c r="F716">
        <v>25</v>
      </c>
      <c r="G716">
        <v>100</v>
      </c>
      <c r="H716" s="2">
        <f t="shared" si="11"/>
        <v>45260</v>
      </c>
    </row>
    <row r="717" spans="1:8">
      <c r="A717" s="1">
        <v>45146</v>
      </c>
      <c r="B717" t="s">
        <v>9</v>
      </c>
      <c r="C717">
        <v>60</v>
      </c>
      <c r="D717" t="s">
        <v>10</v>
      </c>
      <c r="E717">
        <v>4</v>
      </c>
      <c r="F717">
        <v>300</v>
      </c>
      <c r="G717">
        <v>1200</v>
      </c>
      <c r="H717" s="2">
        <f t="shared" si="11"/>
        <v>45169</v>
      </c>
    </row>
    <row r="718" spans="1:8">
      <c r="A718" s="1">
        <v>44996</v>
      </c>
      <c r="B718" t="s">
        <v>7</v>
      </c>
      <c r="C718">
        <v>57</v>
      </c>
      <c r="D718" t="s">
        <v>10</v>
      </c>
      <c r="E718">
        <v>1</v>
      </c>
      <c r="F718">
        <v>500</v>
      </c>
      <c r="G718">
        <v>500</v>
      </c>
      <c r="H718" s="2">
        <f t="shared" si="11"/>
        <v>45016</v>
      </c>
    </row>
    <row r="719" spans="1:8">
      <c r="A719" s="1">
        <v>45163</v>
      </c>
      <c r="B719" t="s">
        <v>9</v>
      </c>
      <c r="C719">
        <v>59</v>
      </c>
      <c r="D719" t="s">
        <v>8</v>
      </c>
      <c r="E719">
        <v>3</v>
      </c>
      <c r="F719">
        <v>25</v>
      </c>
      <c r="G719">
        <v>75</v>
      </c>
      <c r="H719" s="2">
        <f t="shared" si="11"/>
        <v>45169</v>
      </c>
    </row>
    <row r="720" spans="1:8">
      <c r="A720" s="1">
        <v>45020</v>
      </c>
      <c r="B720" t="s">
        <v>9</v>
      </c>
      <c r="C720">
        <v>42</v>
      </c>
      <c r="D720" t="s">
        <v>10</v>
      </c>
      <c r="E720">
        <v>2</v>
      </c>
      <c r="F720">
        <v>30</v>
      </c>
      <c r="G720">
        <v>60</v>
      </c>
      <c r="H720" s="2">
        <f t="shared" si="11"/>
        <v>45046</v>
      </c>
    </row>
    <row r="721" spans="1:8">
      <c r="A721" s="1">
        <v>44952</v>
      </c>
      <c r="B721" t="s">
        <v>9</v>
      </c>
      <c r="C721">
        <v>56</v>
      </c>
      <c r="D721" t="s">
        <v>8</v>
      </c>
      <c r="E721">
        <v>3</v>
      </c>
      <c r="F721">
        <v>500</v>
      </c>
      <c r="G721">
        <v>1500</v>
      </c>
      <c r="H721" s="2">
        <f t="shared" si="11"/>
        <v>44957</v>
      </c>
    </row>
    <row r="722" spans="1:8">
      <c r="A722" s="1">
        <v>45060</v>
      </c>
      <c r="B722" t="s">
        <v>9</v>
      </c>
      <c r="C722">
        <v>52</v>
      </c>
      <c r="D722" t="s">
        <v>10</v>
      </c>
      <c r="E722">
        <v>1</v>
      </c>
      <c r="F722">
        <v>500</v>
      </c>
      <c r="G722">
        <v>500</v>
      </c>
      <c r="H722" s="2">
        <f t="shared" si="11"/>
        <v>45077</v>
      </c>
    </row>
    <row r="723" spans="1:8">
      <c r="A723" s="1">
        <v>45121</v>
      </c>
      <c r="B723" t="s">
        <v>7</v>
      </c>
      <c r="C723">
        <v>20</v>
      </c>
      <c r="D723" t="s">
        <v>8</v>
      </c>
      <c r="E723">
        <v>3</v>
      </c>
      <c r="F723">
        <v>300</v>
      </c>
      <c r="G723">
        <v>900</v>
      </c>
      <c r="H723" s="2">
        <f t="shared" si="11"/>
        <v>45138</v>
      </c>
    </row>
    <row r="724" spans="1:8">
      <c r="A724" s="1">
        <v>45094</v>
      </c>
      <c r="B724" t="s">
        <v>9</v>
      </c>
      <c r="C724">
        <v>54</v>
      </c>
      <c r="D724" t="s">
        <v>8</v>
      </c>
      <c r="E724">
        <v>4</v>
      </c>
      <c r="F724">
        <v>50</v>
      </c>
      <c r="G724">
        <v>200</v>
      </c>
      <c r="H724" s="2">
        <f t="shared" si="11"/>
        <v>45107</v>
      </c>
    </row>
    <row r="725" spans="1:8">
      <c r="A725" s="1">
        <v>45035</v>
      </c>
      <c r="B725" t="s">
        <v>7</v>
      </c>
      <c r="C725">
        <v>61</v>
      </c>
      <c r="D725" t="s">
        <v>10</v>
      </c>
      <c r="E725">
        <v>3</v>
      </c>
      <c r="F725">
        <v>50</v>
      </c>
      <c r="G725">
        <v>150</v>
      </c>
      <c r="H725" s="2">
        <f t="shared" si="11"/>
        <v>45046</v>
      </c>
    </row>
    <row r="726" spans="1:8">
      <c r="A726" s="1">
        <v>45159</v>
      </c>
      <c r="B726" t="s">
        <v>7</v>
      </c>
      <c r="C726">
        <v>61</v>
      </c>
      <c r="D726" t="s">
        <v>11</v>
      </c>
      <c r="E726">
        <v>1</v>
      </c>
      <c r="F726">
        <v>300</v>
      </c>
      <c r="G726">
        <v>300</v>
      </c>
      <c r="H726" s="2">
        <f t="shared" si="11"/>
        <v>45169</v>
      </c>
    </row>
    <row r="727" spans="1:8">
      <c r="A727" s="1">
        <v>45094</v>
      </c>
      <c r="B727" t="s">
        <v>7</v>
      </c>
      <c r="C727">
        <v>47</v>
      </c>
      <c r="D727" t="s">
        <v>10</v>
      </c>
      <c r="E727">
        <v>4</v>
      </c>
      <c r="F727">
        <v>300</v>
      </c>
      <c r="G727">
        <v>1200</v>
      </c>
      <c r="H727" s="2">
        <f t="shared" si="11"/>
        <v>45107</v>
      </c>
    </row>
    <row r="728" spans="1:8">
      <c r="A728" s="1">
        <v>45099</v>
      </c>
      <c r="B728" t="s">
        <v>7</v>
      </c>
      <c r="C728">
        <v>55</v>
      </c>
      <c r="D728" t="s">
        <v>8</v>
      </c>
      <c r="E728">
        <v>3</v>
      </c>
      <c r="F728">
        <v>300</v>
      </c>
      <c r="G728">
        <v>900</v>
      </c>
      <c r="H728" s="2">
        <f t="shared" si="11"/>
        <v>45107</v>
      </c>
    </row>
    <row r="729" spans="1:8">
      <c r="A729" s="1">
        <v>45121</v>
      </c>
      <c r="B729" t="s">
        <v>7</v>
      </c>
      <c r="C729">
        <v>51</v>
      </c>
      <c r="D729" t="s">
        <v>11</v>
      </c>
      <c r="E729">
        <v>3</v>
      </c>
      <c r="F729">
        <v>50</v>
      </c>
      <c r="G729">
        <v>150</v>
      </c>
      <c r="H729" s="2">
        <f t="shared" si="11"/>
        <v>45138</v>
      </c>
    </row>
    <row r="730" spans="1:8">
      <c r="A730" s="1">
        <v>45069</v>
      </c>
      <c r="B730" t="s">
        <v>7</v>
      </c>
      <c r="C730">
        <v>29</v>
      </c>
      <c r="D730" t="s">
        <v>10</v>
      </c>
      <c r="E730">
        <v>4</v>
      </c>
      <c r="F730">
        <v>300</v>
      </c>
      <c r="G730">
        <v>1200</v>
      </c>
      <c r="H730" s="2">
        <f t="shared" si="11"/>
        <v>45077</v>
      </c>
    </row>
    <row r="731" spans="1:8">
      <c r="A731" s="1">
        <v>45142</v>
      </c>
      <c r="B731" t="s">
        <v>9</v>
      </c>
      <c r="C731">
        <v>36</v>
      </c>
      <c r="D731" t="s">
        <v>10</v>
      </c>
      <c r="E731">
        <v>2</v>
      </c>
      <c r="F731">
        <v>25</v>
      </c>
      <c r="G731">
        <v>50</v>
      </c>
      <c r="H731" s="2">
        <f t="shared" si="11"/>
        <v>45169</v>
      </c>
    </row>
    <row r="732" spans="1:8">
      <c r="A732" s="1">
        <v>45056</v>
      </c>
      <c r="B732" t="s">
        <v>7</v>
      </c>
      <c r="C732">
        <v>54</v>
      </c>
      <c r="D732" t="s">
        <v>10</v>
      </c>
      <c r="E732">
        <v>4</v>
      </c>
      <c r="F732">
        <v>500</v>
      </c>
      <c r="G732">
        <v>2000</v>
      </c>
      <c r="H732" s="2">
        <f t="shared" si="11"/>
        <v>45077</v>
      </c>
    </row>
    <row r="733" spans="1:8">
      <c r="A733" s="1">
        <v>44968</v>
      </c>
      <c r="B733" t="s">
        <v>7</v>
      </c>
      <c r="C733">
        <v>61</v>
      </c>
      <c r="D733" t="s">
        <v>11</v>
      </c>
      <c r="E733">
        <v>2</v>
      </c>
      <c r="F733">
        <v>500</v>
      </c>
      <c r="G733">
        <v>1000</v>
      </c>
      <c r="H733" s="2">
        <f t="shared" si="11"/>
        <v>44985</v>
      </c>
    </row>
    <row r="734" spans="1:8">
      <c r="A734" s="1">
        <v>45167</v>
      </c>
      <c r="B734" t="s">
        <v>7</v>
      </c>
      <c r="C734">
        <v>34</v>
      </c>
      <c r="D734" t="s">
        <v>8</v>
      </c>
      <c r="E734">
        <v>1</v>
      </c>
      <c r="F734">
        <v>30</v>
      </c>
      <c r="G734">
        <v>30</v>
      </c>
      <c r="H734" s="2">
        <f t="shared" si="11"/>
        <v>45169</v>
      </c>
    </row>
    <row r="735" spans="1:8">
      <c r="A735" s="1">
        <v>44936</v>
      </c>
      <c r="B735" t="s">
        <v>9</v>
      </c>
      <c r="C735">
        <v>27</v>
      </c>
      <c r="D735" t="s">
        <v>10</v>
      </c>
      <c r="E735">
        <v>1</v>
      </c>
      <c r="F735">
        <v>30</v>
      </c>
      <c r="G735">
        <v>30</v>
      </c>
      <c r="H735" s="2">
        <f t="shared" si="11"/>
        <v>44957</v>
      </c>
    </row>
    <row r="736" spans="1:8">
      <c r="A736" s="1">
        <v>45203</v>
      </c>
      <c r="B736" t="s">
        <v>9</v>
      </c>
      <c r="C736">
        <v>64</v>
      </c>
      <c r="D736" t="s">
        <v>10</v>
      </c>
      <c r="E736">
        <v>4</v>
      </c>
      <c r="F736">
        <v>500</v>
      </c>
      <c r="G736">
        <v>2000</v>
      </c>
      <c r="H736" s="2">
        <f t="shared" si="11"/>
        <v>45230</v>
      </c>
    </row>
    <row r="737" spans="1:8">
      <c r="A737" s="1">
        <v>44953</v>
      </c>
      <c r="B737" t="s">
        <v>7</v>
      </c>
      <c r="C737">
        <v>29</v>
      </c>
      <c r="D737" t="s">
        <v>10</v>
      </c>
      <c r="E737">
        <v>4</v>
      </c>
      <c r="F737">
        <v>25</v>
      </c>
      <c r="G737">
        <v>100</v>
      </c>
      <c r="H737" s="2">
        <f t="shared" si="11"/>
        <v>44957</v>
      </c>
    </row>
    <row r="738" spans="1:8">
      <c r="A738" s="1">
        <v>45106</v>
      </c>
      <c r="B738" t="s">
        <v>9</v>
      </c>
      <c r="C738">
        <v>33</v>
      </c>
      <c r="D738" t="s">
        <v>10</v>
      </c>
      <c r="E738">
        <v>1</v>
      </c>
      <c r="F738">
        <v>50</v>
      </c>
      <c r="G738">
        <v>50</v>
      </c>
      <c r="H738" s="2">
        <f t="shared" si="11"/>
        <v>45107</v>
      </c>
    </row>
    <row r="739" spans="1:8">
      <c r="A739" s="1">
        <v>45041</v>
      </c>
      <c r="B739" t="s">
        <v>7</v>
      </c>
      <c r="C739">
        <v>41</v>
      </c>
      <c r="D739" t="s">
        <v>10</v>
      </c>
      <c r="E739">
        <v>2</v>
      </c>
      <c r="F739">
        <v>50</v>
      </c>
      <c r="G739">
        <v>100</v>
      </c>
      <c r="H739" s="2">
        <f t="shared" si="11"/>
        <v>45046</v>
      </c>
    </row>
    <row r="740" spans="1:8">
      <c r="A740" s="1">
        <v>45259</v>
      </c>
      <c r="B740" t="s">
        <v>7</v>
      </c>
      <c r="C740">
        <v>36</v>
      </c>
      <c r="D740" t="s">
        <v>8</v>
      </c>
      <c r="E740">
        <v>1</v>
      </c>
      <c r="F740">
        <v>25</v>
      </c>
      <c r="G740">
        <v>25</v>
      </c>
      <c r="H740" s="2">
        <f t="shared" si="11"/>
        <v>45260</v>
      </c>
    </row>
    <row r="741" spans="1:8">
      <c r="A741" s="1">
        <v>44962</v>
      </c>
      <c r="B741" t="s">
        <v>9</v>
      </c>
      <c r="C741">
        <v>25</v>
      </c>
      <c r="D741" t="s">
        <v>8</v>
      </c>
      <c r="E741">
        <v>4</v>
      </c>
      <c r="F741">
        <v>50</v>
      </c>
      <c r="G741">
        <v>200</v>
      </c>
      <c r="H741" s="2">
        <f t="shared" si="11"/>
        <v>44985</v>
      </c>
    </row>
    <row r="742" spans="1:8">
      <c r="A742" s="1">
        <v>45260</v>
      </c>
      <c r="B742" t="s">
        <v>7</v>
      </c>
      <c r="C742">
        <v>48</v>
      </c>
      <c r="D742" t="s">
        <v>10</v>
      </c>
      <c r="E742">
        <v>1</v>
      </c>
      <c r="F742">
        <v>300</v>
      </c>
      <c r="G742">
        <v>300</v>
      </c>
      <c r="H742" s="2">
        <f t="shared" si="11"/>
        <v>45260</v>
      </c>
    </row>
    <row r="743" spans="1:8">
      <c r="A743" s="1">
        <v>44947</v>
      </c>
      <c r="B743" t="s">
        <v>9</v>
      </c>
      <c r="C743">
        <v>38</v>
      </c>
      <c r="D743" t="s">
        <v>11</v>
      </c>
      <c r="E743">
        <v>4</v>
      </c>
      <c r="F743">
        <v>500</v>
      </c>
      <c r="G743">
        <v>2000</v>
      </c>
      <c r="H743" s="2">
        <f t="shared" si="11"/>
        <v>44957</v>
      </c>
    </row>
    <row r="744" spans="1:8">
      <c r="A744" s="1">
        <v>44942</v>
      </c>
      <c r="B744" t="s">
        <v>9</v>
      </c>
      <c r="C744">
        <v>34</v>
      </c>
      <c r="D744" t="s">
        <v>8</v>
      </c>
      <c r="E744">
        <v>4</v>
      </c>
      <c r="F744">
        <v>500</v>
      </c>
      <c r="G744">
        <v>2000</v>
      </c>
      <c r="H744" s="2">
        <f t="shared" si="11"/>
        <v>44957</v>
      </c>
    </row>
    <row r="745" spans="1:8">
      <c r="A745" s="1">
        <v>45053</v>
      </c>
      <c r="B745" t="s">
        <v>7</v>
      </c>
      <c r="C745">
        <v>40</v>
      </c>
      <c r="D745" t="s">
        <v>11</v>
      </c>
      <c r="E745">
        <v>1</v>
      </c>
      <c r="F745">
        <v>25</v>
      </c>
      <c r="G745">
        <v>25</v>
      </c>
      <c r="H745" s="2">
        <f t="shared" si="11"/>
        <v>45077</v>
      </c>
    </row>
    <row r="746" spans="1:8">
      <c r="A746" s="1">
        <v>45029</v>
      </c>
      <c r="B746" t="s">
        <v>7</v>
      </c>
      <c r="C746">
        <v>54</v>
      </c>
      <c r="D746" t="s">
        <v>8</v>
      </c>
      <c r="E746">
        <v>2</v>
      </c>
      <c r="F746">
        <v>50</v>
      </c>
      <c r="G746">
        <v>100</v>
      </c>
      <c r="H746" s="2">
        <f t="shared" si="11"/>
        <v>45046</v>
      </c>
    </row>
    <row r="747" spans="1:8">
      <c r="A747" s="1">
        <v>44937</v>
      </c>
      <c r="B747" t="s">
        <v>9</v>
      </c>
      <c r="C747">
        <v>33</v>
      </c>
      <c r="D747" t="s">
        <v>10</v>
      </c>
      <c r="E747">
        <v>3</v>
      </c>
      <c r="F747">
        <v>30</v>
      </c>
      <c r="G747">
        <v>90</v>
      </c>
      <c r="H747" s="2">
        <f t="shared" si="11"/>
        <v>44957</v>
      </c>
    </row>
    <row r="748" spans="1:8">
      <c r="A748" s="1">
        <v>45245</v>
      </c>
      <c r="B748" t="s">
        <v>7</v>
      </c>
      <c r="C748">
        <v>23</v>
      </c>
      <c r="D748" t="s">
        <v>8</v>
      </c>
      <c r="E748">
        <v>1</v>
      </c>
      <c r="F748">
        <v>30</v>
      </c>
      <c r="G748">
        <v>30</v>
      </c>
      <c r="H748" s="2">
        <f t="shared" si="11"/>
        <v>45260</v>
      </c>
    </row>
    <row r="749" spans="1:8">
      <c r="A749" s="1">
        <v>45005</v>
      </c>
      <c r="B749" t="s">
        <v>7</v>
      </c>
      <c r="C749">
        <v>25</v>
      </c>
      <c r="D749" t="s">
        <v>10</v>
      </c>
      <c r="E749">
        <v>3</v>
      </c>
      <c r="F749">
        <v>50</v>
      </c>
      <c r="G749">
        <v>150</v>
      </c>
      <c r="H749" s="2">
        <f t="shared" si="11"/>
        <v>45016</v>
      </c>
    </row>
    <row r="750" spans="1:8">
      <c r="A750" s="1">
        <v>45049</v>
      </c>
      <c r="B750" t="s">
        <v>7</v>
      </c>
      <c r="C750">
        <v>42</v>
      </c>
      <c r="D750" t="s">
        <v>8</v>
      </c>
      <c r="E750">
        <v>1</v>
      </c>
      <c r="F750">
        <v>30</v>
      </c>
      <c r="G750">
        <v>30</v>
      </c>
      <c r="H750" s="2">
        <f t="shared" si="11"/>
        <v>45077</v>
      </c>
    </row>
    <row r="751" spans="1:8">
      <c r="A751" s="1">
        <v>44991</v>
      </c>
      <c r="B751" t="s">
        <v>9</v>
      </c>
      <c r="C751">
        <v>35</v>
      </c>
      <c r="D751" t="s">
        <v>10</v>
      </c>
      <c r="E751">
        <v>3</v>
      </c>
      <c r="F751">
        <v>25</v>
      </c>
      <c r="G751">
        <v>75</v>
      </c>
      <c r="H751" s="2">
        <f t="shared" si="11"/>
        <v>45016</v>
      </c>
    </row>
    <row r="752" spans="1:8">
      <c r="A752" s="1">
        <v>45169</v>
      </c>
      <c r="B752" t="s">
        <v>9</v>
      </c>
      <c r="C752">
        <v>42</v>
      </c>
      <c r="D752" t="s">
        <v>10</v>
      </c>
      <c r="E752">
        <v>2</v>
      </c>
      <c r="F752">
        <v>25</v>
      </c>
      <c r="G752">
        <v>50</v>
      </c>
      <c r="H752" s="2">
        <f t="shared" si="11"/>
        <v>45169</v>
      </c>
    </row>
    <row r="753" spans="1:8">
      <c r="A753" s="1">
        <v>45269</v>
      </c>
      <c r="B753" t="s">
        <v>7</v>
      </c>
      <c r="C753">
        <v>29</v>
      </c>
      <c r="D753" t="s">
        <v>10</v>
      </c>
      <c r="E753">
        <v>2</v>
      </c>
      <c r="F753">
        <v>50</v>
      </c>
      <c r="G753">
        <v>100</v>
      </c>
      <c r="H753" s="2">
        <f t="shared" si="11"/>
        <v>45291</v>
      </c>
    </row>
    <row r="754" spans="1:8">
      <c r="A754" s="1">
        <v>44985</v>
      </c>
      <c r="B754" t="s">
        <v>9</v>
      </c>
      <c r="C754">
        <v>32</v>
      </c>
      <c r="D754" t="s">
        <v>10</v>
      </c>
      <c r="E754">
        <v>1</v>
      </c>
      <c r="F754">
        <v>30</v>
      </c>
      <c r="G754">
        <v>30</v>
      </c>
      <c r="H754" s="2">
        <f t="shared" si="11"/>
        <v>44985</v>
      </c>
    </row>
    <row r="755" spans="1:8">
      <c r="A755" s="1">
        <v>45215</v>
      </c>
      <c r="B755" t="s">
        <v>9</v>
      </c>
      <c r="C755">
        <v>43</v>
      </c>
      <c r="D755" t="s">
        <v>11</v>
      </c>
      <c r="E755">
        <v>4</v>
      </c>
      <c r="F755">
        <v>25</v>
      </c>
      <c r="G755">
        <v>100</v>
      </c>
      <c r="H755" s="2">
        <f t="shared" si="11"/>
        <v>45230</v>
      </c>
    </row>
    <row r="756" spans="1:8">
      <c r="A756" s="1">
        <v>45038</v>
      </c>
      <c r="B756" t="s">
        <v>9</v>
      </c>
      <c r="C756">
        <v>58</v>
      </c>
      <c r="D756" t="s">
        <v>10</v>
      </c>
      <c r="E756">
        <v>3</v>
      </c>
      <c r="F756">
        <v>25</v>
      </c>
      <c r="G756">
        <v>75</v>
      </c>
      <c r="H756" s="2">
        <f t="shared" si="11"/>
        <v>45046</v>
      </c>
    </row>
    <row r="757" spans="1:8">
      <c r="A757" s="1">
        <v>45165</v>
      </c>
      <c r="B757" t="s">
        <v>9</v>
      </c>
      <c r="C757">
        <v>62</v>
      </c>
      <c r="D757" t="s">
        <v>11</v>
      </c>
      <c r="E757">
        <v>4</v>
      </c>
      <c r="F757">
        <v>300</v>
      </c>
      <c r="G757">
        <v>1200</v>
      </c>
      <c r="H757" s="2">
        <f t="shared" si="11"/>
        <v>45169</v>
      </c>
    </row>
    <row r="758" spans="1:8">
      <c r="A758" s="1">
        <v>45285</v>
      </c>
      <c r="B758" t="s">
        <v>9</v>
      </c>
      <c r="C758">
        <v>43</v>
      </c>
      <c r="D758" t="s">
        <v>11</v>
      </c>
      <c r="E758">
        <v>4</v>
      </c>
      <c r="F758">
        <v>300</v>
      </c>
      <c r="G758">
        <v>1200</v>
      </c>
      <c r="H758" s="2">
        <f t="shared" si="11"/>
        <v>45291</v>
      </c>
    </row>
    <row r="759" spans="1:8">
      <c r="A759" s="1">
        <v>45058</v>
      </c>
      <c r="B759" t="s">
        <v>7</v>
      </c>
      <c r="C759">
        <v>64</v>
      </c>
      <c r="D759" t="s">
        <v>10</v>
      </c>
      <c r="E759">
        <v>4</v>
      </c>
      <c r="F759">
        <v>25</v>
      </c>
      <c r="G759">
        <v>100</v>
      </c>
      <c r="H759" s="2">
        <f t="shared" si="11"/>
        <v>45077</v>
      </c>
    </row>
    <row r="760" spans="1:8">
      <c r="A760" s="1">
        <v>45115</v>
      </c>
      <c r="B760" t="s">
        <v>7</v>
      </c>
      <c r="C760">
        <v>49</v>
      </c>
      <c r="D760" t="s">
        <v>11</v>
      </c>
      <c r="E760">
        <v>2</v>
      </c>
      <c r="F760">
        <v>50</v>
      </c>
      <c r="G760">
        <v>100</v>
      </c>
      <c r="H760" s="2">
        <f t="shared" si="11"/>
        <v>45138</v>
      </c>
    </row>
    <row r="761" spans="1:8">
      <c r="A761" s="1">
        <v>45012</v>
      </c>
      <c r="B761" t="s">
        <v>7</v>
      </c>
      <c r="C761">
        <v>27</v>
      </c>
      <c r="D761" t="s">
        <v>8</v>
      </c>
      <c r="E761">
        <v>1</v>
      </c>
      <c r="F761">
        <v>500</v>
      </c>
      <c r="G761">
        <v>500</v>
      </c>
      <c r="H761" s="2">
        <f t="shared" si="11"/>
        <v>45016</v>
      </c>
    </row>
    <row r="762" spans="1:8">
      <c r="A762" s="1">
        <v>45237</v>
      </c>
      <c r="B762" t="s">
        <v>9</v>
      </c>
      <c r="C762">
        <v>33</v>
      </c>
      <c r="D762" t="s">
        <v>10</v>
      </c>
      <c r="E762">
        <v>1</v>
      </c>
      <c r="F762">
        <v>500</v>
      </c>
      <c r="G762">
        <v>500</v>
      </c>
      <c r="H762" s="2">
        <f t="shared" si="11"/>
        <v>45260</v>
      </c>
    </row>
    <row r="763" spans="1:8">
      <c r="A763" s="1">
        <v>45237</v>
      </c>
      <c r="B763" t="s">
        <v>9</v>
      </c>
      <c r="C763">
        <v>24</v>
      </c>
      <c r="D763" t="s">
        <v>11</v>
      </c>
      <c r="E763">
        <v>2</v>
      </c>
      <c r="F763">
        <v>25</v>
      </c>
      <c r="G763">
        <v>50</v>
      </c>
      <c r="H763" s="2">
        <f t="shared" si="11"/>
        <v>45260</v>
      </c>
    </row>
    <row r="764" spans="1:8">
      <c r="A764" s="1">
        <v>44985</v>
      </c>
      <c r="B764" t="s">
        <v>7</v>
      </c>
      <c r="C764">
        <v>34</v>
      </c>
      <c r="D764" t="s">
        <v>10</v>
      </c>
      <c r="E764">
        <v>2</v>
      </c>
      <c r="F764">
        <v>25</v>
      </c>
      <c r="G764">
        <v>50</v>
      </c>
      <c r="H764" s="2">
        <f t="shared" si="11"/>
        <v>44985</v>
      </c>
    </row>
    <row r="765" spans="1:8">
      <c r="A765" s="1">
        <v>45010</v>
      </c>
      <c r="B765" t="s">
        <v>9</v>
      </c>
      <c r="C765">
        <v>40</v>
      </c>
      <c r="D765" t="s">
        <v>10</v>
      </c>
      <c r="E765">
        <v>1</v>
      </c>
      <c r="F765">
        <v>25</v>
      </c>
      <c r="G765">
        <v>25</v>
      </c>
      <c r="H765" s="2">
        <f t="shared" si="11"/>
        <v>45016</v>
      </c>
    </row>
    <row r="766" spans="1:8">
      <c r="A766" s="1">
        <v>45086</v>
      </c>
      <c r="B766" t="s">
        <v>7</v>
      </c>
      <c r="C766">
        <v>43</v>
      </c>
      <c r="D766" t="s">
        <v>10</v>
      </c>
      <c r="E766">
        <v>4</v>
      </c>
      <c r="F766">
        <v>50</v>
      </c>
      <c r="G766">
        <v>200</v>
      </c>
      <c r="H766" s="2">
        <f t="shared" si="11"/>
        <v>45107</v>
      </c>
    </row>
    <row r="767" spans="1:8">
      <c r="A767" s="1">
        <v>44982</v>
      </c>
      <c r="B767" t="s">
        <v>7</v>
      </c>
      <c r="C767">
        <v>38</v>
      </c>
      <c r="D767" t="s">
        <v>11</v>
      </c>
      <c r="E767">
        <v>3</v>
      </c>
      <c r="F767">
        <v>300</v>
      </c>
      <c r="G767">
        <v>900</v>
      </c>
      <c r="H767" s="2">
        <f t="shared" si="11"/>
        <v>44985</v>
      </c>
    </row>
    <row r="768" spans="1:8">
      <c r="A768" s="1">
        <v>45223</v>
      </c>
      <c r="B768" t="s">
        <v>7</v>
      </c>
      <c r="C768">
        <v>39</v>
      </c>
      <c r="D768" t="s">
        <v>8</v>
      </c>
      <c r="E768">
        <v>3</v>
      </c>
      <c r="F768">
        <v>25</v>
      </c>
      <c r="G768">
        <v>75</v>
      </c>
      <c r="H768" s="2">
        <f t="shared" si="11"/>
        <v>45230</v>
      </c>
    </row>
    <row r="769" spans="1:8">
      <c r="A769" s="1">
        <v>44940</v>
      </c>
      <c r="B769" t="s">
        <v>9</v>
      </c>
      <c r="C769">
        <v>24</v>
      </c>
      <c r="D769" t="s">
        <v>8</v>
      </c>
      <c r="E769">
        <v>3</v>
      </c>
      <c r="F769">
        <v>25</v>
      </c>
      <c r="G769">
        <v>75</v>
      </c>
      <c r="H769" s="2">
        <f t="shared" si="11"/>
        <v>44957</v>
      </c>
    </row>
    <row r="770" spans="1:8">
      <c r="A770" s="1">
        <v>45086</v>
      </c>
      <c r="B770" t="s">
        <v>9</v>
      </c>
      <c r="C770">
        <v>31</v>
      </c>
      <c r="D770" t="s">
        <v>11</v>
      </c>
      <c r="E770">
        <v>4</v>
      </c>
      <c r="F770">
        <v>30</v>
      </c>
      <c r="G770">
        <v>120</v>
      </c>
      <c r="H770" s="2">
        <f t="shared" si="11"/>
        <v>45107</v>
      </c>
    </row>
    <row r="771" spans="1:8">
      <c r="A771" s="1">
        <v>45221</v>
      </c>
      <c r="B771" t="s">
        <v>7</v>
      </c>
      <c r="C771">
        <v>32</v>
      </c>
      <c r="D771" t="s">
        <v>10</v>
      </c>
      <c r="E771">
        <v>1</v>
      </c>
      <c r="F771">
        <v>50</v>
      </c>
      <c r="G771">
        <v>50</v>
      </c>
      <c r="H771" s="2">
        <f t="shared" ref="H771:H834" si="12">EOMONTH(A771,0)</f>
        <v>45230</v>
      </c>
    </row>
    <row r="772" spans="1:8">
      <c r="A772" s="1">
        <v>45273</v>
      </c>
      <c r="B772" t="s">
        <v>7</v>
      </c>
      <c r="C772">
        <v>24</v>
      </c>
      <c r="D772" t="s">
        <v>11</v>
      </c>
      <c r="E772">
        <v>2</v>
      </c>
      <c r="F772">
        <v>25</v>
      </c>
      <c r="G772">
        <v>50</v>
      </c>
      <c r="H772" s="2">
        <f t="shared" si="12"/>
        <v>45291</v>
      </c>
    </row>
    <row r="773" spans="1:8">
      <c r="A773" s="1">
        <v>45119</v>
      </c>
      <c r="B773" t="s">
        <v>7</v>
      </c>
      <c r="C773">
        <v>26</v>
      </c>
      <c r="D773" t="s">
        <v>11</v>
      </c>
      <c r="E773">
        <v>1</v>
      </c>
      <c r="F773">
        <v>30</v>
      </c>
      <c r="G773">
        <v>30</v>
      </c>
      <c r="H773" s="2">
        <f t="shared" si="12"/>
        <v>45138</v>
      </c>
    </row>
    <row r="774" spans="1:8">
      <c r="A774" s="1">
        <v>45130</v>
      </c>
      <c r="B774" t="s">
        <v>7</v>
      </c>
      <c r="C774">
        <v>25</v>
      </c>
      <c r="D774" t="s">
        <v>11</v>
      </c>
      <c r="E774">
        <v>4</v>
      </c>
      <c r="F774">
        <v>500</v>
      </c>
      <c r="G774">
        <v>2000</v>
      </c>
      <c r="H774" s="2">
        <f t="shared" si="12"/>
        <v>45138</v>
      </c>
    </row>
    <row r="775" spans="1:8">
      <c r="A775" s="1">
        <v>45028</v>
      </c>
      <c r="B775" t="s">
        <v>9</v>
      </c>
      <c r="C775">
        <v>40</v>
      </c>
      <c r="D775" t="s">
        <v>10</v>
      </c>
      <c r="E775">
        <v>2</v>
      </c>
      <c r="F775">
        <v>25</v>
      </c>
      <c r="G775">
        <v>50</v>
      </c>
      <c r="H775" s="2">
        <f t="shared" si="12"/>
        <v>45046</v>
      </c>
    </row>
    <row r="776" spans="1:8">
      <c r="A776" s="1">
        <v>44965</v>
      </c>
      <c r="B776" t="s">
        <v>9</v>
      </c>
      <c r="C776">
        <v>46</v>
      </c>
      <c r="D776" t="s">
        <v>11</v>
      </c>
      <c r="E776">
        <v>4</v>
      </c>
      <c r="F776">
        <v>25</v>
      </c>
      <c r="G776">
        <v>100</v>
      </c>
      <c r="H776" s="2">
        <f t="shared" si="12"/>
        <v>44985</v>
      </c>
    </row>
    <row r="777" spans="1:8">
      <c r="A777" s="1">
        <v>45230</v>
      </c>
      <c r="B777" t="s">
        <v>7</v>
      </c>
      <c r="C777">
        <v>35</v>
      </c>
      <c r="D777" t="s">
        <v>10</v>
      </c>
      <c r="E777">
        <v>3</v>
      </c>
      <c r="F777">
        <v>30</v>
      </c>
      <c r="G777">
        <v>90</v>
      </c>
      <c r="H777" s="2">
        <f t="shared" si="12"/>
        <v>45230</v>
      </c>
    </row>
    <row r="778" spans="1:8">
      <c r="A778" s="1">
        <v>45280</v>
      </c>
      <c r="B778" t="s">
        <v>7</v>
      </c>
      <c r="C778">
        <v>48</v>
      </c>
      <c r="D778" t="s">
        <v>11</v>
      </c>
      <c r="E778">
        <v>3</v>
      </c>
      <c r="F778">
        <v>50</v>
      </c>
      <c r="G778">
        <v>150</v>
      </c>
      <c r="H778" s="2">
        <f t="shared" si="12"/>
        <v>45291</v>
      </c>
    </row>
    <row r="779" spans="1:8">
      <c r="A779" s="1">
        <v>45248</v>
      </c>
      <c r="B779" t="s">
        <v>9</v>
      </c>
      <c r="C779">
        <v>47</v>
      </c>
      <c r="D779" t="s">
        <v>8</v>
      </c>
      <c r="E779">
        <v>4</v>
      </c>
      <c r="F779">
        <v>25</v>
      </c>
      <c r="G779">
        <v>100</v>
      </c>
      <c r="H779" s="2">
        <f t="shared" si="12"/>
        <v>45260</v>
      </c>
    </row>
    <row r="780" spans="1:8">
      <c r="A780" s="1">
        <v>45051</v>
      </c>
      <c r="B780" t="s">
        <v>9</v>
      </c>
      <c r="C780">
        <v>56</v>
      </c>
      <c r="D780" t="s">
        <v>11</v>
      </c>
      <c r="E780">
        <v>2</v>
      </c>
      <c r="F780">
        <v>500</v>
      </c>
      <c r="G780">
        <v>1000</v>
      </c>
      <c r="H780" s="2">
        <f t="shared" si="12"/>
        <v>45077</v>
      </c>
    </row>
    <row r="781" spans="1:8">
      <c r="A781" s="1">
        <v>44979</v>
      </c>
      <c r="B781" t="s">
        <v>7</v>
      </c>
      <c r="C781">
        <v>52</v>
      </c>
      <c r="D781" t="s">
        <v>11</v>
      </c>
      <c r="E781">
        <v>2</v>
      </c>
      <c r="F781">
        <v>25</v>
      </c>
      <c r="G781">
        <v>50</v>
      </c>
      <c r="H781" s="2">
        <f t="shared" si="12"/>
        <v>44985</v>
      </c>
    </row>
    <row r="782" spans="1:8">
      <c r="A782" s="1">
        <v>45283</v>
      </c>
      <c r="B782" t="s">
        <v>7</v>
      </c>
      <c r="C782">
        <v>35</v>
      </c>
      <c r="D782" t="s">
        <v>8</v>
      </c>
      <c r="E782">
        <v>1</v>
      </c>
      <c r="F782">
        <v>500</v>
      </c>
      <c r="G782">
        <v>500</v>
      </c>
      <c r="H782" s="2">
        <f t="shared" si="12"/>
        <v>45291</v>
      </c>
    </row>
    <row r="783" spans="1:8">
      <c r="A783" s="1">
        <v>45081</v>
      </c>
      <c r="B783" t="s">
        <v>7</v>
      </c>
      <c r="C783">
        <v>59</v>
      </c>
      <c r="D783" t="s">
        <v>10</v>
      </c>
      <c r="E783">
        <v>3</v>
      </c>
      <c r="F783">
        <v>300</v>
      </c>
      <c r="G783">
        <v>900</v>
      </c>
      <c r="H783" s="2">
        <f t="shared" si="12"/>
        <v>45107</v>
      </c>
    </row>
    <row r="784" spans="1:8">
      <c r="A784" s="1">
        <v>45277</v>
      </c>
      <c r="B784" t="s">
        <v>9</v>
      </c>
      <c r="C784">
        <v>56</v>
      </c>
      <c r="D784" t="s">
        <v>10</v>
      </c>
      <c r="E784">
        <v>1</v>
      </c>
      <c r="F784">
        <v>300</v>
      </c>
      <c r="G784">
        <v>300</v>
      </c>
      <c r="H784" s="2">
        <f t="shared" si="12"/>
        <v>45291</v>
      </c>
    </row>
    <row r="785" spans="1:8">
      <c r="A785" s="1">
        <v>45234</v>
      </c>
      <c r="B785" t="s">
        <v>9</v>
      </c>
      <c r="C785">
        <v>34</v>
      </c>
      <c r="D785" t="s">
        <v>11</v>
      </c>
      <c r="E785">
        <v>1</v>
      </c>
      <c r="F785">
        <v>500</v>
      </c>
      <c r="G785">
        <v>500</v>
      </c>
      <c r="H785" s="2">
        <f t="shared" si="12"/>
        <v>45260</v>
      </c>
    </row>
    <row r="786" spans="1:8">
      <c r="A786" s="1">
        <v>44988</v>
      </c>
      <c r="B786" t="s">
        <v>9</v>
      </c>
      <c r="C786">
        <v>31</v>
      </c>
      <c r="D786" t="s">
        <v>8</v>
      </c>
      <c r="E786">
        <v>4</v>
      </c>
      <c r="F786">
        <v>50</v>
      </c>
      <c r="G786">
        <v>200</v>
      </c>
      <c r="H786" s="2">
        <f t="shared" si="12"/>
        <v>45016</v>
      </c>
    </row>
    <row r="787" spans="1:8">
      <c r="A787" s="1">
        <v>45216</v>
      </c>
      <c r="B787" t="s">
        <v>7</v>
      </c>
      <c r="C787">
        <v>48</v>
      </c>
      <c r="D787" t="s">
        <v>10</v>
      </c>
      <c r="E787">
        <v>4</v>
      </c>
      <c r="F787">
        <v>25</v>
      </c>
      <c r="G787">
        <v>100</v>
      </c>
      <c r="H787" s="2">
        <f t="shared" si="12"/>
        <v>45230</v>
      </c>
    </row>
    <row r="788" spans="1:8">
      <c r="A788" s="1">
        <v>44948</v>
      </c>
      <c r="B788" t="s">
        <v>7</v>
      </c>
      <c r="C788">
        <v>41</v>
      </c>
      <c r="D788" t="s">
        <v>11</v>
      </c>
      <c r="E788">
        <v>1</v>
      </c>
      <c r="F788">
        <v>25</v>
      </c>
      <c r="G788">
        <v>25</v>
      </c>
      <c r="H788" s="2">
        <f t="shared" si="12"/>
        <v>44957</v>
      </c>
    </row>
    <row r="789" spans="1:8">
      <c r="A789" s="1">
        <v>45104</v>
      </c>
      <c r="B789" t="s">
        <v>9</v>
      </c>
      <c r="C789">
        <v>52</v>
      </c>
      <c r="D789" t="s">
        <v>8</v>
      </c>
      <c r="E789">
        <v>3</v>
      </c>
      <c r="F789">
        <v>300</v>
      </c>
      <c r="G789">
        <v>900</v>
      </c>
      <c r="H789" s="2">
        <f t="shared" si="12"/>
        <v>45107</v>
      </c>
    </row>
    <row r="790" spans="1:8">
      <c r="A790" s="1">
        <v>45199</v>
      </c>
      <c r="B790" t="s">
        <v>9</v>
      </c>
      <c r="C790">
        <v>61</v>
      </c>
      <c r="D790" t="s">
        <v>10</v>
      </c>
      <c r="E790">
        <v>4</v>
      </c>
      <c r="F790">
        <v>500</v>
      </c>
      <c r="G790">
        <v>2000</v>
      </c>
      <c r="H790" s="2">
        <f t="shared" si="12"/>
        <v>45199</v>
      </c>
    </row>
    <row r="791" spans="1:8">
      <c r="A791" s="1">
        <v>45146</v>
      </c>
      <c r="B791" t="s">
        <v>7</v>
      </c>
      <c r="C791">
        <v>62</v>
      </c>
      <c r="D791" t="s">
        <v>10</v>
      </c>
      <c r="E791">
        <v>1</v>
      </c>
      <c r="F791">
        <v>25</v>
      </c>
      <c r="G791">
        <v>25</v>
      </c>
      <c r="H791" s="2">
        <f t="shared" si="12"/>
        <v>45169</v>
      </c>
    </row>
    <row r="792" spans="1:8">
      <c r="A792" s="1">
        <v>45265</v>
      </c>
      <c r="B792" t="s">
        <v>9</v>
      </c>
      <c r="C792">
        <v>51</v>
      </c>
      <c r="D792" t="s">
        <v>8</v>
      </c>
      <c r="E792">
        <v>1</v>
      </c>
      <c r="F792">
        <v>25</v>
      </c>
      <c r="G792">
        <v>25</v>
      </c>
      <c r="H792" s="2">
        <f t="shared" si="12"/>
        <v>45291</v>
      </c>
    </row>
    <row r="793" spans="1:8">
      <c r="A793" s="1">
        <v>45116</v>
      </c>
      <c r="B793" t="s">
        <v>9</v>
      </c>
      <c r="C793">
        <v>20</v>
      </c>
      <c r="D793" t="s">
        <v>8</v>
      </c>
      <c r="E793">
        <v>1</v>
      </c>
      <c r="F793">
        <v>50</v>
      </c>
      <c r="G793">
        <v>50</v>
      </c>
      <c r="H793" s="2">
        <f t="shared" si="12"/>
        <v>45138</v>
      </c>
    </row>
    <row r="794" spans="1:8">
      <c r="A794" s="1">
        <v>44962</v>
      </c>
      <c r="B794" t="s">
        <v>7</v>
      </c>
      <c r="C794">
        <v>54</v>
      </c>
      <c r="D794" t="s">
        <v>8</v>
      </c>
      <c r="E794">
        <v>1</v>
      </c>
      <c r="F794">
        <v>30</v>
      </c>
      <c r="G794">
        <v>30</v>
      </c>
      <c r="H794" s="2">
        <f t="shared" si="12"/>
        <v>44985</v>
      </c>
    </row>
    <row r="795" spans="1:8">
      <c r="A795" s="1">
        <v>45186</v>
      </c>
      <c r="B795" t="s">
        <v>9</v>
      </c>
      <c r="C795">
        <v>60</v>
      </c>
      <c r="D795" t="s">
        <v>8</v>
      </c>
      <c r="E795">
        <v>1</v>
      </c>
      <c r="F795">
        <v>300</v>
      </c>
      <c r="G795">
        <v>300</v>
      </c>
      <c r="H795" s="2">
        <f t="shared" si="12"/>
        <v>45199</v>
      </c>
    </row>
    <row r="796" spans="1:8">
      <c r="A796" s="1">
        <v>45258</v>
      </c>
      <c r="B796" t="s">
        <v>7</v>
      </c>
      <c r="C796">
        <v>57</v>
      </c>
      <c r="D796" t="s">
        <v>11</v>
      </c>
      <c r="E796">
        <v>1</v>
      </c>
      <c r="F796">
        <v>300</v>
      </c>
      <c r="G796">
        <v>300</v>
      </c>
      <c r="H796" s="2">
        <f t="shared" si="12"/>
        <v>45260</v>
      </c>
    </row>
    <row r="797" spans="1:8">
      <c r="A797" s="1">
        <v>45101</v>
      </c>
      <c r="B797" t="s">
        <v>7</v>
      </c>
      <c r="C797">
        <v>43</v>
      </c>
      <c r="D797" t="s">
        <v>8</v>
      </c>
      <c r="E797">
        <v>4</v>
      </c>
      <c r="F797">
        <v>30</v>
      </c>
      <c r="G797">
        <v>120</v>
      </c>
      <c r="H797" s="2">
        <f t="shared" si="12"/>
        <v>45107</v>
      </c>
    </row>
    <row r="798" spans="1:8">
      <c r="A798" s="1">
        <v>44933</v>
      </c>
      <c r="B798" t="s">
        <v>7</v>
      </c>
      <c r="C798">
        <v>40</v>
      </c>
      <c r="D798" t="s">
        <v>10</v>
      </c>
      <c r="E798">
        <v>3</v>
      </c>
      <c r="F798">
        <v>25</v>
      </c>
      <c r="G798">
        <v>75</v>
      </c>
      <c r="H798" s="2">
        <f t="shared" si="12"/>
        <v>44957</v>
      </c>
    </row>
    <row r="799" spans="1:8">
      <c r="A799" s="1">
        <v>45142</v>
      </c>
      <c r="B799" t="s">
        <v>7</v>
      </c>
      <c r="C799">
        <v>61</v>
      </c>
      <c r="D799" t="s">
        <v>10</v>
      </c>
      <c r="E799">
        <v>1</v>
      </c>
      <c r="F799">
        <v>50</v>
      </c>
      <c r="G799">
        <v>50</v>
      </c>
      <c r="H799" s="2">
        <f t="shared" si="12"/>
        <v>45169</v>
      </c>
    </row>
    <row r="800" spans="1:8">
      <c r="A800" s="1">
        <v>45177</v>
      </c>
      <c r="B800" t="s">
        <v>7</v>
      </c>
      <c r="C800">
        <v>56</v>
      </c>
      <c r="D800" t="s">
        <v>11</v>
      </c>
      <c r="E800">
        <v>2</v>
      </c>
      <c r="F800">
        <v>50</v>
      </c>
      <c r="G800">
        <v>100</v>
      </c>
      <c r="H800" s="2">
        <f t="shared" si="12"/>
        <v>45199</v>
      </c>
    </row>
    <row r="801" spans="1:8">
      <c r="A801" s="1">
        <v>44981</v>
      </c>
      <c r="B801" t="s">
        <v>7</v>
      </c>
      <c r="C801">
        <v>32</v>
      </c>
      <c r="D801" t="s">
        <v>10</v>
      </c>
      <c r="E801">
        <v>4</v>
      </c>
      <c r="F801">
        <v>300</v>
      </c>
      <c r="G801">
        <v>1200</v>
      </c>
      <c r="H801" s="2">
        <f t="shared" si="12"/>
        <v>44985</v>
      </c>
    </row>
    <row r="802" spans="1:8">
      <c r="A802" s="1">
        <v>45148</v>
      </c>
      <c r="B802" t="s">
        <v>7</v>
      </c>
      <c r="C802">
        <v>21</v>
      </c>
      <c r="D802" t="s">
        <v>10</v>
      </c>
      <c r="E802">
        <v>4</v>
      </c>
      <c r="F802">
        <v>50</v>
      </c>
      <c r="G802">
        <v>200</v>
      </c>
      <c r="H802" s="2">
        <f t="shared" si="12"/>
        <v>45169</v>
      </c>
    </row>
    <row r="803" spans="1:8">
      <c r="A803" s="1">
        <v>45112</v>
      </c>
      <c r="B803" t="s">
        <v>9</v>
      </c>
      <c r="C803">
        <v>46</v>
      </c>
      <c r="D803" t="s">
        <v>8</v>
      </c>
      <c r="E803">
        <v>1</v>
      </c>
      <c r="F803">
        <v>30</v>
      </c>
      <c r="G803">
        <v>30</v>
      </c>
      <c r="H803" s="2">
        <f t="shared" si="12"/>
        <v>45138</v>
      </c>
    </row>
    <row r="804" spans="1:8">
      <c r="A804" s="1">
        <v>45252</v>
      </c>
      <c r="B804" t="s">
        <v>7</v>
      </c>
      <c r="C804">
        <v>39</v>
      </c>
      <c r="D804" t="s">
        <v>10</v>
      </c>
      <c r="E804">
        <v>4</v>
      </c>
      <c r="F804">
        <v>25</v>
      </c>
      <c r="G804">
        <v>100</v>
      </c>
      <c r="H804" s="2">
        <f t="shared" si="12"/>
        <v>45260</v>
      </c>
    </row>
    <row r="805" spans="1:8">
      <c r="A805" s="1">
        <v>45162</v>
      </c>
      <c r="B805" t="s">
        <v>7</v>
      </c>
      <c r="C805">
        <v>42</v>
      </c>
      <c r="D805" t="s">
        <v>11</v>
      </c>
      <c r="E805">
        <v>1</v>
      </c>
      <c r="F805">
        <v>30</v>
      </c>
      <c r="G805">
        <v>30</v>
      </c>
      <c r="H805" s="2">
        <f t="shared" si="12"/>
        <v>45169</v>
      </c>
    </row>
    <row r="806" spans="1:8">
      <c r="A806" s="1">
        <v>45289</v>
      </c>
      <c r="B806" t="s">
        <v>9</v>
      </c>
      <c r="C806">
        <v>30</v>
      </c>
      <c r="D806" t="s">
        <v>8</v>
      </c>
      <c r="E806">
        <v>3</v>
      </c>
      <c r="F806">
        <v>500</v>
      </c>
      <c r="G806">
        <v>1500</v>
      </c>
      <c r="H806" s="2">
        <f t="shared" si="12"/>
        <v>45291</v>
      </c>
    </row>
    <row r="807" spans="1:8">
      <c r="A807" s="1">
        <v>45005</v>
      </c>
      <c r="B807" t="s">
        <v>9</v>
      </c>
      <c r="C807">
        <v>35</v>
      </c>
      <c r="D807" t="s">
        <v>8</v>
      </c>
      <c r="E807">
        <v>3</v>
      </c>
      <c r="F807">
        <v>300</v>
      </c>
      <c r="G807">
        <v>900</v>
      </c>
      <c r="H807" s="2">
        <f t="shared" si="12"/>
        <v>45016</v>
      </c>
    </row>
    <row r="808" spans="1:8">
      <c r="A808" s="1">
        <v>45149</v>
      </c>
      <c r="B808" t="s">
        <v>9</v>
      </c>
      <c r="C808">
        <v>50</v>
      </c>
      <c r="D808" t="s">
        <v>11</v>
      </c>
      <c r="E808">
        <v>4</v>
      </c>
      <c r="F808">
        <v>50</v>
      </c>
      <c r="G808">
        <v>200</v>
      </c>
      <c r="H808" s="2">
        <f t="shared" si="12"/>
        <v>45169</v>
      </c>
    </row>
    <row r="809" spans="1:8">
      <c r="A809" s="1">
        <v>45017</v>
      </c>
      <c r="B809" t="s">
        <v>7</v>
      </c>
      <c r="C809">
        <v>33</v>
      </c>
      <c r="D809" t="s">
        <v>8</v>
      </c>
      <c r="E809">
        <v>4</v>
      </c>
      <c r="F809">
        <v>500</v>
      </c>
      <c r="G809">
        <v>2000</v>
      </c>
      <c r="H809" s="2">
        <f t="shared" si="12"/>
        <v>45046</v>
      </c>
    </row>
    <row r="810" spans="1:8">
      <c r="A810" s="1">
        <v>45194</v>
      </c>
      <c r="B810" t="s">
        <v>9</v>
      </c>
      <c r="C810">
        <v>62</v>
      </c>
      <c r="D810" t="s">
        <v>8</v>
      </c>
      <c r="E810">
        <v>2</v>
      </c>
      <c r="F810">
        <v>50</v>
      </c>
      <c r="G810">
        <v>100</v>
      </c>
      <c r="H810" s="2">
        <f t="shared" si="12"/>
        <v>45199</v>
      </c>
    </row>
    <row r="811" spans="1:8">
      <c r="A811" s="1">
        <v>45260</v>
      </c>
      <c r="B811" t="s">
        <v>7</v>
      </c>
      <c r="C811">
        <v>59</v>
      </c>
      <c r="D811" t="s">
        <v>11</v>
      </c>
      <c r="E811">
        <v>4</v>
      </c>
      <c r="F811">
        <v>25</v>
      </c>
      <c r="G811">
        <v>100</v>
      </c>
      <c r="H811" s="2">
        <f t="shared" si="12"/>
        <v>45260</v>
      </c>
    </row>
    <row r="812" spans="1:8">
      <c r="A812" s="1">
        <v>45065</v>
      </c>
      <c r="B812" t="s">
        <v>7</v>
      </c>
      <c r="C812">
        <v>61</v>
      </c>
      <c r="D812" t="s">
        <v>8</v>
      </c>
      <c r="E812">
        <v>2</v>
      </c>
      <c r="F812">
        <v>25</v>
      </c>
      <c r="G812">
        <v>50</v>
      </c>
      <c r="H812" s="2">
        <f t="shared" si="12"/>
        <v>45077</v>
      </c>
    </row>
    <row r="813" spans="1:8">
      <c r="A813" s="1">
        <v>45242</v>
      </c>
      <c r="B813" t="s">
        <v>7</v>
      </c>
      <c r="C813">
        <v>19</v>
      </c>
      <c r="D813" t="s">
        <v>11</v>
      </c>
      <c r="E813">
        <v>3</v>
      </c>
      <c r="F813">
        <v>25</v>
      </c>
      <c r="G813">
        <v>75</v>
      </c>
      <c r="H813" s="2">
        <f t="shared" si="12"/>
        <v>45260</v>
      </c>
    </row>
    <row r="814" spans="1:8">
      <c r="A814" s="1">
        <v>45202</v>
      </c>
      <c r="B814" t="s">
        <v>7</v>
      </c>
      <c r="C814">
        <v>52</v>
      </c>
      <c r="D814" t="s">
        <v>11</v>
      </c>
      <c r="E814">
        <v>3</v>
      </c>
      <c r="F814">
        <v>50</v>
      </c>
      <c r="G814">
        <v>150</v>
      </c>
      <c r="H814" s="2">
        <f t="shared" si="12"/>
        <v>45230</v>
      </c>
    </row>
    <row r="815" spans="1:8">
      <c r="A815" s="1">
        <v>45174</v>
      </c>
      <c r="B815" t="s">
        <v>9</v>
      </c>
      <c r="C815">
        <v>59</v>
      </c>
      <c r="D815" t="s">
        <v>10</v>
      </c>
      <c r="E815">
        <v>1</v>
      </c>
      <c r="F815">
        <v>500</v>
      </c>
      <c r="G815">
        <v>500</v>
      </c>
      <c r="H815" s="2">
        <f t="shared" si="12"/>
        <v>45199</v>
      </c>
    </row>
    <row r="816" spans="1:8">
      <c r="A816" s="1">
        <v>45165</v>
      </c>
      <c r="B816" t="s">
        <v>9</v>
      </c>
      <c r="C816">
        <v>51</v>
      </c>
      <c r="D816" t="s">
        <v>10</v>
      </c>
      <c r="E816">
        <v>3</v>
      </c>
      <c r="F816">
        <v>25</v>
      </c>
      <c r="G816">
        <v>75</v>
      </c>
      <c r="H816" s="2">
        <f t="shared" si="12"/>
        <v>45169</v>
      </c>
    </row>
    <row r="817" spans="1:8">
      <c r="A817" s="1">
        <v>45150</v>
      </c>
      <c r="B817" t="s">
        <v>7</v>
      </c>
      <c r="C817">
        <v>47</v>
      </c>
      <c r="D817" t="s">
        <v>8</v>
      </c>
      <c r="E817">
        <v>2</v>
      </c>
      <c r="F817">
        <v>500</v>
      </c>
      <c r="G817">
        <v>1000</v>
      </c>
      <c r="H817" s="2">
        <f t="shared" si="12"/>
        <v>45169</v>
      </c>
    </row>
    <row r="818" spans="1:8">
      <c r="A818" s="1">
        <v>45230</v>
      </c>
      <c r="B818" t="s">
        <v>7</v>
      </c>
      <c r="C818">
        <v>30</v>
      </c>
      <c r="D818" t="s">
        <v>8</v>
      </c>
      <c r="E818">
        <v>4</v>
      </c>
      <c r="F818">
        <v>50</v>
      </c>
      <c r="G818">
        <v>200</v>
      </c>
      <c r="H818" s="2">
        <f t="shared" si="12"/>
        <v>45230</v>
      </c>
    </row>
    <row r="819" spans="1:8">
      <c r="A819" s="1">
        <v>45064</v>
      </c>
      <c r="B819" t="s">
        <v>7</v>
      </c>
      <c r="C819">
        <v>30</v>
      </c>
      <c r="D819" t="s">
        <v>11</v>
      </c>
      <c r="E819">
        <v>1</v>
      </c>
      <c r="F819">
        <v>500</v>
      </c>
      <c r="G819">
        <v>500</v>
      </c>
      <c r="H819" s="2">
        <f t="shared" si="12"/>
        <v>45077</v>
      </c>
    </row>
    <row r="820" spans="1:8">
      <c r="A820" s="1">
        <v>45092</v>
      </c>
      <c r="B820" t="s">
        <v>9</v>
      </c>
      <c r="C820">
        <v>35</v>
      </c>
      <c r="D820" t="s">
        <v>8</v>
      </c>
      <c r="E820">
        <v>2</v>
      </c>
      <c r="F820">
        <v>50</v>
      </c>
      <c r="G820">
        <v>100</v>
      </c>
      <c r="H820" s="2">
        <f t="shared" si="12"/>
        <v>45107</v>
      </c>
    </row>
    <row r="821" spans="1:8">
      <c r="A821" s="1">
        <v>45052</v>
      </c>
      <c r="B821" t="s">
        <v>7</v>
      </c>
      <c r="C821">
        <v>49</v>
      </c>
      <c r="D821" t="s">
        <v>11</v>
      </c>
      <c r="E821">
        <v>4</v>
      </c>
      <c r="F821">
        <v>50</v>
      </c>
      <c r="G821">
        <v>200</v>
      </c>
      <c r="H821" s="2">
        <f t="shared" si="12"/>
        <v>45077</v>
      </c>
    </row>
    <row r="822" spans="1:8">
      <c r="A822" s="1">
        <v>44971</v>
      </c>
      <c r="B822" t="s">
        <v>7</v>
      </c>
      <c r="C822">
        <v>49</v>
      </c>
      <c r="D822" t="s">
        <v>11</v>
      </c>
      <c r="E822">
        <v>1</v>
      </c>
      <c r="F822">
        <v>300</v>
      </c>
      <c r="G822">
        <v>300</v>
      </c>
      <c r="H822" s="2">
        <f t="shared" si="12"/>
        <v>44985</v>
      </c>
    </row>
    <row r="823" spans="1:8">
      <c r="A823" s="1">
        <v>45069</v>
      </c>
      <c r="B823" t="s">
        <v>9</v>
      </c>
      <c r="C823">
        <v>52</v>
      </c>
      <c r="D823" t="s">
        <v>8</v>
      </c>
      <c r="E823">
        <v>3</v>
      </c>
      <c r="F823">
        <v>50</v>
      </c>
      <c r="G823">
        <v>150</v>
      </c>
      <c r="H823" s="2">
        <f t="shared" si="12"/>
        <v>45077</v>
      </c>
    </row>
    <row r="824" spans="1:8">
      <c r="A824" s="1">
        <v>45157</v>
      </c>
      <c r="B824" t="s">
        <v>9</v>
      </c>
      <c r="C824">
        <v>56</v>
      </c>
      <c r="D824" t="s">
        <v>11</v>
      </c>
      <c r="E824">
        <v>2</v>
      </c>
      <c r="F824">
        <v>50</v>
      </c>
      <c r="G824">
        <v>100</v>
      </c>
      <c r="H824" s="2">
        <f t="shared" si="12"/>
        <v>45169</v>
      </c>
    </row>
    <row r="825" spans="1:8">
      <c r="A825" s="1">
        <v>45051</v>
      </c>
      <c r="B825" t="s">
        <v>7</v>
      </c>
      <c r="C825">
        <v>63</v>
      </c>
      <c r="D825" t="s">
        <v>10</v>
      </c>
      <c r="E825">
        <v>4</v>
      </c>
      <c r="F825">
        <v>30</v>
      </c>
      <c r="G825">
        <v>120</v>
      </c>
      <c r="H825" s="2">
        <f t="shared" si="12"/>
        <v>45077</v>
      </c>
    </row>
    <row r="826" spans="1:8">
      <c r="A826" s="1">
        <v>45164</v>
      </c>
      <c r="B826" t="s">
        <v>9</v>
      </c>
      <c r="C826">
        <v>46</v>
      </c>
      <c r="D826" t="s">
        <v>8</v>
      </c>
      <c r="E826">
        <v>1</v>
      </c>
      <c r="F826">
        <v>25</v>
      </c>
      <c r="G826">
        <v>25</v>
      </c>
      <c r="H826" s="2">
        <f t="shared" si="12"/>
        <v>45169</v>
      </c>
    </row>
    <row r="827" spans="1:8">
      <c r="A827" s="1">
        <v>45218</v>
      </c>
      <c r="B827" t="s">
        <v>9</v>
      </c>
      <c r="C827">
        <v>46</v>
      </c>
      <c r="D827" t="s">
        <v>10</v>
      </c>
      <c r="E827">
        <v>1</v>
      </c>
      <c r="F827">
        <v>300</v>
      </c>
      <c r="G827">
        <v>300</v>
      </c>
      <c r="H827" s="2">
        <f t="shared" si="12"/>
        <v>45230</v>
      </c>
    </row>
    <row r="828" spans="1:8">
      <c r="A828" s="1">
        <v>45239</v>
      </c>
      <c r="B828" t="s">
        <v>7</v>
      </c>
      <c r="C828">
        <v>61</v>
      </c>
      <c r="D828" t="s">
        <v>8</v>
      </c>
      <c r="E828">
        <v>3</v>
      </c>
      <c r="F828">
        <v>300</v>
      </c>
      <c r="G828">
        <v>900</v>
      </c>
      <c r="H828" s="2">
        <f t="shared" si="12"/>
        <v>45260</v>
      </c>
    </row>
    <row r="829" spans="1:8">
      <c r="A829" s="1">
        <v>45269</v>
      </c>
      <c r="B829" t="s">
        <v>9</v>
      </c>
      <c r="C829">
        <v>33</v>
      </c>
      <c r="D829" t="s">
        <v>11</v>
      </c>
      <c r="E829">
        <v>4</v>
      </c>
      <c r="F829">
        <v>300</v>
      </c>
      <c r="G829">
        <v>1200</v>
      </c>
      <c r="H829" s="2">
        <f t="shared" si="12"/>
        <v>45291</v>
      </c>
    </row>
    <row r="830" spans="1:8">
      <c r="A830" s="1">
        <v>45121</v>
      </c>
      <c r="B830" t="s">
        <v>7</v>
      </c>
      <c r="C830">
        <v>61</v>
      </c>
      <c r="D830" t="s">
        <v>8</v>
      </c>
      <c r="E830">
        <v>3</v>
      </c>
      <c r="F830">
        <v>30</v>
      </c>
      <c r="G830">
        <v>90</v>
      </c>
      <c r="H830" s="2">
        <f t="shared" si="12"/>
        <v>45138</v>
      </c>
    </row>
    <row r="831" spans="1:8">
      <c r="A831" s="1">
        <v>45099</v>
      </c>
      <c r="B831" t="s">
        <v>9</v>
      </c>
      <c r="C831">
        <v>64</v>
      </c>
      <c r="D831" t="s">
        <v>10</v>
      </c>
      <c r="E831">
        <v>3</v>
      </c>
      <c r="F831">
        <v>50</v>
      </c>
      <c r="G831">
        <v>150</v>
      </c>
      <c r="H831" s="2">
        <f t="shared" si="12"/>
        <v>45107</v>
      </c>
    </row>
    <row r="832" spans="1:8">
      <c r="A832" s="1">
        <v>44941</v>
      </c>
      <c r="B832" t="s">
        <v>7</v>
      </c>
      <c r="C832">
        <v>27</v>
      </c>
      <c r="D832" t="s">
        <v>11</v>
      </c>
      <c r="E832">
        <v>4</v>
      </c>
      <c r="F832">
        <v>25</v>
      </c>
      <c r="G832">
        <v>100</v>
      </c>
      <c r="H832" s="2">
        <f t="shared" si="12"/>
        <v>44957</v>
      </c>
    </row>
    <row r="833" spans="1:8">
      <c r="A833" s="1">
        <v>45180</v>
      </c>
      <c r="B833" t="s">
        <v>7</v>
      </c>
      <c r="C833">
        <v>47</v>
      </c>
      <c r="D833" t="s">
        <v>8</v>
      </c>
      <c r="E833">
        <v>4</v>
      </c>
      <c r="F833">
        <v>500</v>
      </c>
      <c r="G833">
        <v>2000</v>
      </c>
      <c r="H833" s="2">
        <f t="shared" si="12"/>
        <v>45199</v>
      </c>
    </row>
    <row r="834" spans="1:8">
      <c r="A834" s="1">
        <v>45093</v>
      </c>
      <c r="B834" t="s">
        <v>7</v>
      </c>
      <c r="C834">
        <v>42</v>
      </c>
      <c r="D834" t="s">
        <v>8</v>
      </c>
      <c r="E834">
        <v>4</v>
      </c>
      <c r="F834">
        <v>50</v>
      </c>
      <c r="G834">
        <v>200</v>
      </c>
      <c r="H834" s="2">
        <f t="shared" si="12"/>
        <v>45107</v>
      </c>
    </row>
    <row r="835" spans="1:8">
      <c r="A835" s="1">
        <v>45020</v>
      </c>
      <c r="B835" t="s">
        <v>9</v>
      </c>
      <c r="C835">
        <v>56</v>
      </c>
      <c r="D835" t="s">
        <v>8</v>
      </c>
      <c r="E835">
        <v>2</v>
      </c>
      <c r="F835">
        <v>30</v>
      </c>
      <c r="G835">
        <v>60</v>
      </c>
      <c r="H835" s="2">
        <f t="shared" ref="H835:H898" si="13">EOMONTH(A835,0)</f>
        <v>45046</v>
      </c>
    </row>
    <row r="836" spans="1:8">
      <c r="A836" s="1">
        <v>45176</v>
      </c>
      <c r="B836" t="s">
        <v>7</v>
      </c>
      <c r="C836">
        <v>37</v>
      </c>
      <c r="D836" t="s">
        <v>10</v>
      </c>
      <c r="E836">
        <v>4</v>
      </c>
      <c r="F836">
        <v>50</v>
      </c>
      <c r="G836">
        <v>200</v>
      </c>
      <c r="H836" s="2">
        <f t="shared" si="13"/>
        <v>45199</v>
      </c>
    </row>
    <row r="837" spans="1:8">
      <c r="A837" s="1">
        <v>45035</v>
      </c>
      <c r="B837" t="s">
        <v>9</v>
      </c>
      <c r="C837">
        <v>22</v>
      </c>
      <c r="D837" t="s">
        <v>10</v>
      </c>
      <c r="E837">
        <v>1</v>
      </c>
      <c r="F837">
        <v>50</v>
      </c>
      <c r="G837">
        <v>50</v>
      </c>
      <c r="H837" s="2">
        <f t="shared" si="13"/>
        <v>45046</v>
      </c>
    </row>
    <row r="838" spans="1:8">
      <c r="A838" s="1">
        <v>45108</v>
      </c>
      <c r="B838" t="s">
        <v>7</v>
      </c>
      <c r="C838">
        <v>18</v>
      </c>
      <c r="D838" t="s">
        <v>8</v>
      </c>
      <c r="E838">
        <v>3</v>
      </c>
      <c r="F838">
        <v>30</v>
      </c>
      <c r="G838">
        <v>90</v>
      </c>
      <c r="H838" s="2">
        <f t="shared" si="13"/>
        <v>45138</v>
      </c>
    </row>
    <row r="839" spans="1:8">
      <c r="A839" s="1">
        <v>45059</v>
      </c>
      <c r="B839" t="s">
        <v>7</v>
      </c>
      <c r="C839">
        <v>47</v>
      </c>
      <c r="D839" t="s">
        <v>11</v>
      </c>
      <c r="E839">
        <v>2</v>
      </c>
      <c r="F839">
        <v>300</v>
      </c>
      <c r="G839">
        <v>600</v>
      </c>
      <c r="H839" s="2">
        <f t="shared" si="13"/>
        <v>45077</v>
      </c>
    </row>
    <row r="840" spans="1:8">
      <c r="A840" s="1">
        <v>45101</v>
      </c>
      <c r="B840" t="s">
        <v>9</v>
      </c>
      <c r="C840">
        <v>20</v>
      </c>
      <c r="D840" t="s">
        <v>11</v>
      </c>
      <c r="E840">
        <v>4</v>
      </c>
      <c r="F840">
        <v>300</v>
      </c>
      <c r="G840">
        <v>1200</v>
      </c>
      <c r="H840" s="2">
        <f t="shared" si="13"/>
        <v>45107</v>
      </c>
    </row>
    <row r="841" spans="1:8">
      <c r="A841" s="1">
        <v>45070</v>
      </c>
      <c r="B841" t="s">
        <v>7</v>
      </c>
      <c r="C841">
        <v>62</v>
      </c>
      <c r="D841" t="s">
        <v>10</v>
      </c>
      <c r="E841">
        <v>2</v>
      </c>
      <c r="F841">
        <v>25</v>
      </c>
      <c r="G841">
        <v>50</v>
      </c>
      <c r="H841" s="2">
        <f t="shared" si="13"/>
        <v>45077</v>
      </c>
    </row>
    <row r="842" spans="1:8">
      <c r="A842" s="1">
        <v>45232</v>
      </c>
      <c r="B842" t="s">
        <v>7</v>
      </c>
      <c r="C842">
        <v>31</v>
      </c>
      <c r="D842" t="s">
        <v>11</v>
      </c>
      <c r="E842">
        <v>4</v>
      </c>
      <c r="F842">
        <v>25</v>
      </c>
      <c r="G842">
        <v>100</v>
      </c>
      <c r="H842" s="2">
        <f t="shared" si="13"/>
        <v>45260</v>
      </c>
    </row>
    <row r="843" spans="1:8">
      <c r="A843" s="1">
        <v>45286</v>
      </c>
      <c r="B843" t="s">
        <v>9</v>
      </c>
      <c r="C843">
        <v>47</v>
      </c>
      <c r="D843" t="s">
        <v>10</v>
      </c>
      <c r="E843">
        <v>2</v>
      </c>
      <c r="F843">
        <v>300</v>
      </c>
      <c r="G843">
        <v>600</v>
      </c>
      <c r="H843" s="2">
        <f t="shared" si="13"/>
        <v>45291</v>
      </c>
    </row>
    <row r="844" spans="1:8">
      <c r="A844" s="1">
        <v>45068</v>
      </c>
      <c r="B844" t="s">
        <v>7</v>
      </c>
      <c r="C844">
        <v>21</v>
      </c>
      <c r="D844" t="s">
        <v>8</v>
      </c>
      <c r="E844">
        <v>3</v>
      </c>
      <c r="F844">
        <v>500</v>
      </c>
      <c r="G844">
        <v>1500</v>
      </c>
      <c r="H844" s="2">
        <f t="shared" si="13"/>
        <v>45077</v>
      </c>
    </row>
    <row r="845" spans="1:8">
      <c r="A845" s="1">
        <v>45211</v>
      </c>
      <c r="B845" t="s">
        <v>7</v>
      </c>
      <c r="C845">
        <v>35</v>
      </c>
      <c r="D845" t="s">
        <v>10</v>
      </c>
      <c r="E845">
        <v>3</v>
      </c>
      <c r="F845">
        <v>50</v>
      </c>
      <c r="G845">
        <v>150</v>
      </c>
      <c r="H845" s="2">
        <f t="shared" si="13"/>
        <v>45230</v>
      </c>
    </row>
    <row r="846" spans="1:8">
      <c r="A846" s="1">
        <v>44932</v>
      </c>
      <c r="B846" t="s">
        <v>7</v>
      </c>
      <c r="C846">
        <v>54</v>
      </c>
      <c r="D846" t="s">
        <v>10</v>
      </c>
      <c r="E846">
        <v>1</v>
      </c>
      <c r="F846">
        <v>500</v>
      </c>
      <c r="G846">
        <v>500</v>
      </c>
      <c r="H846" s="2">
        <f t="shared" si="13"/>
        <v>44957</v>
      </c>
    </row>
    <row r="847" spans="1:8">
      <c r="A847" s="1">
        <v>45191</v>
      </c>
      <c r="B847" t="s">
        <v>7</v>
      </c>
      <c r="C847">
        <v>42</v>
      </c>
      <c r="D847" t="s">
        <v>8</v>
      </c>
      <c r="E847">
        <v>1</v>
      </c>
      <c r="F847">
        <v>50</v>
      </c>
      <c r="G847">
        <v>50</v>
      </c>
      <c r="H847" s="2">
        <f t="shared" si="13"/>
        <v>45199</v>
      </c>
    </row>
    <row r="848" spans="1:8">
      <c r="A848" s="1">
        <v>45024</v>
      </c>
      <c r="B848" t="s">
        <v>9</v>
      </c>
      <c r="C848">
        <v>18</v>
      </c>
      <c r="D848" t="s">
        <v>11</v>
      </c>
      <c r="E848">
        <v>4</v>
      </c>
      <c r="F848">
        <v>300</v>
      </c>
      <c r="G848">
        <v>1200</v>
      </c>
      <c r="H848" s="2">
        <f t="shared" si="13"/>
        <v>45046</v>
      </c>
    </row>
    <row r="849" spans="1:8">
      <c r="A849" s="1">
        <v>44970</v>
      </c>
      <c r="B849" t="s">
        <v>9</v>
      </c>
      <c r="C849">
        <v>63</v>
      </c>
      <c r="D849" t="s">
        <v>10</v>
      </c>
      <c r="E849">
        <v>3</v>
      </c>
      <c r="F849">
        <v>25</v>
      </c>
      <c r="G849">
        <v>75</v>
      </c>
      <c r="H849" s="2">
        <f t="shared" si="13"/>
        <v>44985</v>
      </c>
    </row>
    <row r="850" spans="1:8">
      <c r="A850" s="1">
        <v>45050</v>
      </c>
      <c r="B850" t="s">
        <v>7</v>
      </c>
      <c r="C850">
        <v>32</v>
      </c>
      <c r="D850" t="s">
        <v>10</v>
      </c>
      <c r="E850">
        <v>2</v>
      </c>
      <c r="F850">
        <v>25</v>
      </c>
      <c r="G850">
        <v>50</v>
      </c>
      <c r="H850" s="2">
        <f t="shared" si="13"/>
        <v>45077</v>
      </c>
    </row>
    <row r="851" spans="1:8">
      <c r="A851" s="1">
        <v>45135</v>
      </c>
      <c r="B851" t="s">
        <v>9</v>
      </c>
      <c r="C851">
        <v>26</v>
      </c>
      <c r="D851" t="s">
        <v>8</v>
      </c>
      <c r="E851">
        <v>2</v>
      </c>
      <c r="F851">
        <v>500</v>
      </c>
      <c r="G851">
        <v>1000</v>
      </c>
      <c r="H851" s="2">
        <f t="shared" si="13"/>
        <v>45138</v>
      </c>
    </row>
    <row r="852" spans="1:8">
      <c r="A852" s="1">
        <v>45177</v>
      </c>
      <c r="B852" t="s">
        <v>7</v>
      </c>
      <c r="C852">
        <v>32</v>
      </c>
      <c r="D852" t="s">
        <v>11</v>
      </c>
      <c r="E852">
        <v>2</v>
      </c>
      <c r="F852">
        <v>25</v>
      </c>
      <c r="G852">
        <v>50</v>
      </c>
      <c r="H852" s="2">
        <f t="shared" si="13"/>
        <v>45199</v>
      </c>
    </row>
    <row r="853" spans="1:8">
      <c r="A853" s="1">
        <v>45211</v>
      </c>
      <c r="B853" t="s">
        <v>9</v>
      </c>
      <c r="C853">
        <v>41</v>
      </c>
      <c r="D853" t="s">
        <v>10</v>
      </c>
      <c r="E853">
        <v>1</v>
      </c>
      <c r="F853">
        <v>300</v>
      </c>
      <c r="G853">
        <v>300</v>
      </c>
      <c r="H853" s="2">
        <f t="shared" si="13"/>
        <v>45230</v>
      </c>
    </row>
    <row r="854" spans="1:8">
      <c r="A854" s="1">
        <v>45050</v>
      </c>
      <c r="B854" t="s">
        <v>7</v>
      </c>
      <c r="C854">
        <v>21</v>
      </c>
      <c r="D854" t="s">
        <v>8</v>
      </c>
      <c r="E854">
        <v>2</v>
      </c>
      <c r="F854">
        <v>500</v>
      </c>
      <c r="G854">
        <v>1000</v>
      </c>
      <c r="H854" s="2">
        <f t="shared" si="13"/>
        <v>45077</v>
      </c>
    </row>
    <row r="855" spans="1:8">
      <c r="A855" s="1">
        <v>45280</v>
      </c>
      <c r="B855" t="s">
        <v>7</v>
      </c>
      <c r="C855">
        <v>29</v>
      </c>
      <c r="D855" t="s">
        <v>10</v>
      </c>
      <c r="E855">
        <v>1</v>
      </c>
      <c r="F855">
        <v>50</v>
      </c>
      <c r="G855">
        <v>50</v>
      </c>
      <c r="H855" s="2">
        <f t="shared" si="13"/>
        <v>45291</v>
      </c>
    </row>
    <row r="856" spans="1:8">
      <c r="A856" s="1">
        <v>45170</v>
      </c>
      <c r="B856" t="s">
        <v>7</v>
      </c>
      <c r="C856">
        <v>54</v>
      </c>
      <c r="D856" t="s">
        <v>8</v>
      </c>
      <c r="E856">
        <v>1</v>
      </c>
      <c r="F856">
        <v>25</v>
      </c>
      <c r="G856">
        <v>25</v>
      </c>
      <c r="H856" s="2">
        <f t="shared" si="13"/>
        <v>45199</v>
      </c>
    </row>
    <row r="857" spans="1:8">
      <c r="A857" s="1">
        <v>45257</v>
      </c>
      <c r="B857" t="s">
        <v>7</v>
      </c>
      <c r="C857">
        <v>54</v>
      </c>
      <c r="D857" t="s">
        <v>11</v>
      </c>
      <c r="E857">
        <v>4</v>
      </c>
      <c r="F857">
        <v>30</v>
      </c>
      <c r="G857">
        <v>120</v>
      </c>
      <c r="H857" s="2">
        <f t="shared" si="13"/>
        <v>45260</v>
      </c>
    </row>
    <row r="858" spans="1:8">
      <c r="A858" s="1">
        <v>45291</v>
      </c>
      <c r="B858" t="s">
        <v>7</v>
      </c>
      <c r="C858">
        <v>60</v>
      </c>
      <c r="D858" t="s">
        <v>11</v>
      </c>
      <c r="E858">
        <v>2</v>
      </c>
      <c r="F858">
        <v>25</v>
      </c>
      <c r="G858">
        <v>50</v>
      </c>
      <c r="H858" s="2">
        <f t="shared" si="13"/>
        <v>45291</v>
      </c>
    </row>
    <row r="859" spans="1:8">
      <c r="A859" s="1">
        <v>45178</v>
      </c>
      <c r="B859" t="s">
        <v>7</v>
      </c>
      <c r="C859">
        <v>23</v>
      </c>
      <c r="D859" t="s">
        <v>11</v>
      </c>
      <c r="E859">
        <v>2</v>
      </c>
      <c r="F859">
        <v>50</v>
      </c>
      <c r="G859">
        <v>100</v>
      </c>
      <c r="H859" s="2">
        <f t="shared" si="13"/>
        <v>45199</v>
      </c>
    </row>
    <row r="860" spans="1:8">
      <c r="A860" s="1">
        <v>45156</v>
      </c>
      <c r="B860" t="s">
        <v>9</v>
      </c>
      <c r="C860">
        <v>56</v>
      </c>
      <c r="D860" t="s">
        <v>11</v>
      </c>
      <c r="E860">
        <v>3</v>
      </c>
      <c r="F860">
        <v>500</v>
      </c>
      <c r="G860">
        <v>1500</v>
      </c>
      <c r="H860" s="2">
        <f t="shared" si="13"/>
        <v>45169</v>
      </c>
    </row>
    <row r="861" spans="1:8">
      <c r="A861" s="1">
        <v>44935</v>
      </c>
      <c r="B861" t="s">
        <v>7</v>
      </c>
      <c r="C861">
        <v>63</v>
      </c>
      <c r="D861" t="s">
        <v>10</v>
      </c>
      <c r="E861">
        <v>4</v>
      </c>
      <c r="F861">
        <v>50</v>
      </c>
      <c r="G861">
        <v>200</v>
      </c>
      <c r="H861" s="2">
        <f t="shared" si="13"/>
        <v>44957</v>
      </c>
    </row>
    <row r="862" spans="1:8">
      <c r="A862" s="1">
        <v>44974</v>
      </c>
      <c r="B862" t="s">
        <v>9</v>
      </c>
      <c r="C862">
        <v>41</v>
      </c>
      <c r="D862" t="s">
        <v>10</v>
      </c>
      <c r="E862">
        <v>3</v>
      </c>
      <c r="F862">
        <v>30</v>
      </c>
      <c r="G862">
        <v>90</v>
      </c>
      <c r="H862" s="2">
        <f t="shared" si="13"/>
        <v>44985</v>
      </c>
    </row>
    <row r="863" spans="1:8">
      <c r="A863" s="1">
        <v>45077</v>
      </c>
      <c r="B863" t="s">
        <v>7</v>
      </c>
      <c r="C863">
        <v>28</v>
      </c>
      <c r="D863" t="s">
        <v>11</v>
      </c>
      <c r="E863">
        <v>4</v>
      </c>
      <c r="F863">
        <v>300</v>
      </c>
      <c r="G863">
        <v>1200</v>
      </c>
      <c r="H863" s="2">
        <f t="shared" si="13"/>
        <v>45077</v>
      </c>
    </row>
    <row r="864" spans="1:8">
      <c r="A864" s="1">
        <v>45040</v>
      </c>
      <c r="B864" t="s">
        <v>9</v>
      </c>
      <c r="C864">
        <v>30</v>
      </c>
      <c r="D864" t="s">
        <v>11</v>
      </c>
      <c r="E864">
        <v>2</v>
      </c>
      <c r="F864">
        <v>25</v>
      </c>
      <c r="G864">
        <v>50</v>
      </c>
      <c r="H864" s="2">
        <f t="shared" si="13"/>
        <v>45046</v>
      </c>
    </row>
    <row r="865" spans="1:8">
      <c r="A865" s="1">
        <v>45134</v>
      </c>
      <c r="B865" t="s">
        <v>9</v>
      </c>
      <c r="C865">
        <v>51</v>
      </c>
      <c r="D865" t="s">
        <v>11</v>
      </c>
      <c r="E865">
        <v>1</v>
      </c>
      <c r="F865">
        <v>500</v>
      </c>
      <c r="G865">
        <v>500</v>
      </c>
      <c r="H865" s="2">
        <f t="shared" si="13"/>
        <v>45138</v>
      </c>
    </row>
    <row r="866" spans="1:8">
      <c r="A866" s="1">
        <v>45281</v>
      </c>
      <c r="B866" t="s">
        <v>9</v>
      </c>
      <c r="C866">
        <v>42</v>
      </c>
      <c r="D866" t="s">
        <v>10</v>
      </c>
      <c r="E866">
        <v>1</v>
      </c>
      <c r="F866">
        <v>300</v>
      </c>
      <c r="G866">
        <v>300</v>
      </c>
      <c r="H866" s="2">
        <f t="shared" si="13"/>
        <v>45291</v>
      </c>
    </row>
    <row r="867" spans="1:8">
      <c r="A867" s="1">
        <v>45051</v>
      </c>
      <c r="B867" t="s">
        <v>7</v>
      </c>
      <c r="C867">
        <v>24</v>
      </c>
      <c r="D867" t="s">
        <v>11</v>
      </c>
      <c r="E867">
        <v>1</v>
      </c>
      <c r="F867">
        <v>50</v>
      </c>
      <c r="G867">
        <v>50</v>
      </c>
      <c r="H867" s="2">
        <f t="shared" si="13"/>
        <v>45077</v>
      </c>
    </row>
    <row r="868" spans="1:8">
      <c r="A868" s="1">
        <v>45083</v>
      </c>
      <c r="B868" t="s">
        <v>7</v>
      </c>
      <c r="C868">
        <v>21</v>
      </c>
      <c r="D868" t="s">
        <v>11</v>
      </c>
      <c r="E868">
        <v>1</v>
      </c>
      <c r="F868">
        <v>500</v>
      </c>
      <c r="G868">
        <v>500</v>
      </c>
      <c r="H868" s="2">
        <f t="shared" si="13"/>
        <v>45107</v>
      </c>
    </row>
    <row r="869" spans="1:8">
      <c r="A869" s="1">
        <v>45266</v>
      </c>
      <c r="B869" t="s">
        <v>9</v>
      </c>
      <c r="C869">
        <v>25</v>
      </c>
      <c r="D869" t="s">
        <v>11</v>
      </c>
      <c r="E869">
        <v>1</v>
      </c>
      <c r="F869">
        <v>300</v>
      </c>
      <c r="G869">
        <v>300</v>
      </c>
      <c r="H869" s="2">
        <f t="shared" si="13"/>
        <v>45291</v>
      </c>
    </row>
    <row r="870" spans="1:8">
      <c r="A870" s="1">
        <v>45224</v>
      </c>
      <c r="B870" t="s">
        <v>7</v>
      </c>
      <c r="C870">
        <v>37</v>
      </c>
      <c r="D870" t="s">
        <v>8</v>
      </c>
      <c r="E870">
        <v>3</v>
      </c>
      <c r="F870">
        <v>500</v>
      </c>
      <c r="G870">
        <v>1500</v>
      </c>
      <c r="H870" s="2">
        <f t="shared" si="13"/>
        <v>45230</v>
      </c>
    </row>
    <row r="871" spans="1:8">
      <c r="A871" s="1">
        <v>45115</v>
      </c>
      <c r="B871" t="s">
        <v>9</v>
      </c>
      <c r="C871">
        <v>46</v>
      </c>
      <c r="D871" t="s">
        <v>11</v>
      </c>
      <c r="E871">
        <v>4</v>
      </c>
      <c r="F871">
        <v>30</v>
      </c>
      <c r="G871">
        <v>120</v>
      </c>
      <c r="H871" s="2">
        <f t="shared" si="13"/>
        <v>45138</v>
      </c>
    </row>
    <row r="872" spans="1:8">
      <c r="A872" s="1">
        <v>45169</v>
      </c>
      <c r="B872" t="s">
        <v>7</v>
      </c>
      <c r="C872">
        <v>62</v>
      </c>
      <c r="D872" t="s">
        <v>8</v>
      </c>
      <c r="E872">
        <v>2</v>
      </c>
      <c r="F872">
        <v>30</v>
      </c>
      <c r="G872">
        <v>60</v>
      </c>
      <c r="H872" s="2">
        <f t="shared" si="13"/>
        <v>45169</v>
      </c>
    </row>
    <row r="873" spans="1:8">
      <c r="A873" s="1">
        <v>45210</v>
      </c>
      <c r="B873" t="s">
        <v>9</v>
      </c>
      <c r="C873">
        <v>63</v>
      </c>
      <c r="D873" t="s">
        <v>8</v>
      </c>
      <c r="E873">
        <v>3</v>
      </c>
      <c r="F873">
        <v>25</v>
      </c>
      <c r="G873">
        <v>75</v>
      </c>
      <c r="H873" s="2">
        <f t="shared" si="13"/>
        <v>45230</v>
      </c>
    </row>
    <row r="874" spans="1:8">
      <c r="A874" s="1">
        <v>45198</v>
      </c>
      <c r="B874" t="s">
        <v>9</v>
      </c>
      <c r="C874">
        <v>27</v>
      </c>
      <c r="D874" t="s">
        <v>11</v>
      </c>
      <c r="E874">
        <v>4</v>
      </c>
      <c r="F874">
        <v>25</v>
      </c>
      <c r="G874">
        <v>100</v>
      </c>
      <c r="H874" s="2">
        <f t="shared" si="13"/>
        <v>45199</v>
      </c>
    </row>
    <row r="875" spans="1:8">
      <c r="A875" s="1">
        <v>45103</v>
      </c>
      <c r="B875" t="s">
        <v>7</v>
      </c>
      <c r="C875">
        <v>60</v>
      </c>
      <c r="D875" t="s">
        <v>8</v>
      </c>
      <c r="E875">
        <v>1</v>
      </c>
      <c r="F875">
        <v>30</v>
      </c>
      <c r="G875">
        <v>30</v>
      </c>
      <c r="H875" s="2">
        <f t="shared" si="13"/>
        <v>45107</v>
      </c>
    </row>
    <row r="876" spans="1:8">
      <c r="A876" s="1">
        <v>45144</v>
      </c>
      <c r="B876" t="s">
        <v>9</v>
      </c>
      <c r="C876">
        <v>51</v>
      </c>
      <c r="D876" t="s">
        <v>11</v>
      </c>
      <c r="E876">
        <v>4</v>
      </c>
      <c r="F876">
        <v>500</v>
      </c>
      <c r="G876">
        <v>2000</v>
      </c>
      <c r="H876" s="2">
        <f t="shared" si="13"/>
        <v>45169</v>
      </c>
    </row>
    <row r="877" spans="1:8">
      <c r="A877" s="1">
        <v>45208</v>
      </c>
      <c r="B877" t="s">
        <v>7</v>
      </c>
      <c r="C877">
        <v>43</v>
      </c>
      <c r="D877" t="s">
        <v>10</v>
      </c>
      <c r="E877">
        <v>4</v>
      </c>
      <c r="F877">
        <v>30</v>
      </c>
      <c r="G877">
        <v>120</v>
      </c>
      <c r="H877" s="2">
        <f t="shared" si="13"/>
        <v>45230</v>
      </c>
    </row>
    <row r="878" spans="1:8">
      <c r="A878" s="1">
        <v>45096</v>
      </c>
      <c r="B878" t="s">
        <v>9</v>
      </c>
      <c r="C878">
        <v>58</v>
      </c>
      <c r="D878" t="s">
        <v>10</v>
      </c>
      <c r="E878">
        <v>1</v>
      </c>
      <c r="F878">
        <v>25</v>
      </c>
      <c r="G878">
        <v>25</v>
      </c>
      <c r="H878" s="2">
        <f t="shared" si="13"/>
        <v>45107</v>
      </c>
    </row>
    <row r="879" spans="1:8">
      <c r="A879" s="1">
        <v>45107</v>
      </c>
      <c r="B879" t="s">
        <v>9</v>
      </c>
      <c r="C879">
        <v>20</v>
      </c>
      <c r="D879" t="s">
        <v>10</v>
      </c>
      <c r="E879">
        <v>1</v>
      </c>
      <c r="F879">
        <v>30</v>
      </c>
      <c r="G879">
        <v>30</v>
      </c>
      <c r="H879" s="2">
        <f t="shared" si="13"/>
        <v>45107</v>
      </c>
    </row>
    <row r="880" spans="1:8">
      <c r="A880" s="1">
        <v>45286</v>
      </c>
      <c r="B880" t="s">
        <v>7</v>
      </c>
      <c r="C880">
        <v>23</v>
      </c>
      <c r="D880" t="s">
        <v>10</v>
      </c>
      <c r="E880">
        <v>1</v>
      </c>
      <c r="F880">
        <v>30</v>
      </c>
      <c r="G880">
        <v>30</v>
      </c>
      <c r="H880" s="2">
        <f t="shared" si="13"/>
        <v>45291</v>
      </c>
    </row>
    <row r="881" spans="1:8">
      <c r="A881" s="1">
        <v>45159</v>
      </c>
      <c r="B881" t="s">
        <v>7</v>
      </c>
      <c r="C881">
        <v>22</v>
      </c>
      <c r="D881" t="s">
        <v>8</v>
      </c>
      <c r="E881">
        <v>2</v>
      </c>
      <c r="F881">
        <v>500</v>
      </c>
      <c r="G881">
        <v>1000</v>
      </c>
      <c r="H881" s="2">
        <f t="shared" si="13"/>
        <v>45169</v>
      </c>
    </row>
    <row r="882" spans="1:8">
      <c r="A882" s="1">
        <v>45065</v>
      </c>
      <c r="B882" t="s">
        <v>7</v>
      </c>
      <c r="C882">
        <v>22</v>
      </c>
      <c r="D882" t="s">
        <v>11</v>
      </c>
      <c r="E882">
        <v>1</v>
      </c>
      <c r="F882">
        <v>300</v>
      </c>
      <c r="G882">
        <v>300</v>
      </c>
      <c r="H882" s="2">
        <f t="shared" si="13"/>
        <v>45077</v>
      </c>
    </row>
    <row r="883" spans="1:8">
      <c r="A883" s="1">
        <v>45083</v>
      </c>
      <c r="B883" t="s">
        <v>9</v>
      </c>
      <c r="C883">
        <v>64</v>
      </c>
      <c r="D883" t="s">
        <v>11</v>
      </c>
      <c r="E883">
        <v>2</v>
      </c>
      <c r="F883">
        <v>25</v>
      </c>
      <c r="G883">
        <v>50</v>
      </c>
      <c r="H883" s="2">
        <f t="shared" si="13"/>
        <v>45107</v>
      </c>
    </row>
    <row r="884" spans="1:8">
      <c r="A884" s="1">
        <v>45055</v>
      </c>
      <c r="B884" t="s">
        <v>7</v>
      </c>
      <c r="C884">
        <v>40</v>
      </c>
      <c r="D884" t="s">
        <v>11</v>
      </c>
      <c r="E884">
        <v>1</v>
      </c>
      <c r="F884">
        <v>500</v>
      </c>
      <c r="G884">
        <v>500</v>
      </c>
      <c r="H884" s="2">
        <f t="shared" si="13"/>
        <v>45077</v>
      </c>
    </row>
    <row r="885" spans="1:8">
      <c r="A885" s="1">
        <v>45045</v>
      </c>
      <c r="B885" t="s">
        <v>9</v>
      </c>
      <c r="C885">
        <v>26</v>
      </c>
      <c r="D885" t="s">
        <v>10</v>
      </c>
      <c r="E885">
        <v>2</v>
      </c>
      <c r="F885">
        <v>30</v>
      </c>
      <c r="G885">
        <v>60</v>
      </c>
      <c r="H885" s="2">
        <f t="shared" si="13"/>
        <v>45046</v>
      </c>
    </row>
    <row r="886" spans="1:8">
      <c r="A886" s="1">
        <v>44988</v>
      </c>
      <c r="B886" t="s">
        <v>9</v>
      </c>
      <c r="C886">
        <v>52</v>
      </c>
      <c r="D886" t="s">
        <v>10</v>
      </c>
      <c r="E886">
        <v>4</v>
      </c>
      <c r="F886">
        <v>30</v>
      </c>
      <c r="G886">
        <v>120</v>
      </c>
      <c r="H886" s="2">
        <f t="shared" si="13"/>
        <v>45016</v>
      </c>
    </row>
    <row r="887" spans="1:8">
      <c r="A887" s="1">
        <v>45025</v>
      </c>
      <c r="B887" t="s">
        <v>7</v>
      </c>
      <c r="C887">
        <v>37</v>
      </c>
      <c r="D887" t="s">
        <v>11</v>
      </c>
      <c r="E887">
        <v>3</v>
      </c>
      <c r="F887">
        <v>300</v>
      </c>
      <c r="G887">
        <v>900</v>
      </c>
      <c r="H887" s="2">
        <f t="shared" si="13"/>
        <v>45046</v>
      </c>
    </row>
    <row r="888" spans="1:8">
      <c r="A888" s="1">
        <v>45088</v>
      </c>
      <c r="B888" t="s">
        <v>7</v>
      </c>
      <c r="C888">
        <v>59</v>
      </c>
      <c r="D888" t="s">
        <v>10</v>
      </c>
      <c r="E888">
        <v>4</v>
      </c>
      <c r="F888">
        <v>25</v>
      </c>
      <c r="G888">
        <v>100</v>
      </c>
      <c r="H888" s="2">
        <f t="shared" si="13"/>
        <v>45107</v>
      </c>
    </row>
    <row r="889" spans="1:8">
      <c r="A889" s="1">
        <v>44988</v>
      </c>
      <c r="B889" t="s">
        <v>9</v>
      </c>
      <c r="C889">
        <v>52</v>
      </c>
      <c r="D889" t="s">
        <v>11</v>
      </c>
      <c r="E889">
        <v>4</v>
      </c>
      <c r="F889">
        <v>25</v>
      </c>
      <c r="G889">
        <v>100</v>
      </c>
      <c r="H889" s="2">
        <f t="shared" si="13"/>
        <v>45016</v>
      </c>
    </row>
    <row r="890" spans="1:8">
      <c r="A890" s="1">
        <v>45201</v>
      </c>
      <c r="B890" t="s">
        <v>9</v>
      </c>
      <c r="C890">
        <v>35</v>
      </c>
      <c r="D890" t="s">
        <v>11</v>
      </c>
      <c r="E890">
        <v>1</v>
      </c>
      <c r="F890">
        <v>50</v>
      </c>
      <c r="G890">
        <v>50</v>
      </c>
      <c r="H890" s="2">
        <f t="shared" si="13"/>
        <v>45230</v>
      </c>
    </row>
    <row r="891" spans="1:8">
      <c r="A891" s="1">
        <v>45280</v>
      </c>
      <c r="B891" t="s">
        <v>7</v>
      </c>
      <c r="C891">
        <v>34</v>
      </c>
      <c r="D891" t="s">
        <v>11</v>
      </c>
      <c r="E891">
        <v>2</v>
      </c>
      <c r="F891">
        <v>25</v>
      </c>
      <c r="G891">
        <v>50</v>
      </c>
      <c r="H891" s="2">
        <f t="shared" si="13"/>
        <v>45291</v>
      </c>
    </row>
    <row r="892" spans="1:8">
      <c r="A892" s="1">
        <v>45021</v>
      </c>
      <c r="B892" t="s">
        <v>7</v>
      </c>
      <c r="C892">
        <v>41</v>
      </c>
      <c r="D892" t="s">
        <v>11</v>
      </c>
      <c r="E892">
        <v>3</v>
      </c>
      <c r="F892">
        <v>300</v>
      </c>
      <c r="G892">
        <v>900</v>
      </c>
      <c r="H892" s="2">
        <f t="shared" si="13"/>
        <v>45046</v>
      </c>
    </row>
    <row r="893" spans="1:8">
      <c r="A893" s="1">
        <v>45025</v>
      </c>
      <c r="B893" t="s">
        <v>7</v>
      </c>
      <c r="C893">
        <v>20</v>
      </c>
      <c r="D893" t="s">
        <v>11</v>
      </c>
      <c r="E893">
        <v>1</v>
      </c>
      <c r="F893">
        <v>50</v>
      </c>
      <c r="G893">
        <v>50</v>
      </c>
      <c r="H893" s="2">
        <f t="shared" si="13"/>
        <v>45046</v>
      </c>
    </row>
    <row r="894" spans="1:8">
      <c r="A894" s="1">
        <v>45037</v>
      </c>
      <c r="B894" t="s">
        <v>7</v>
      </c>
      <c r="C894">
        <v>49</v>
      </c>
      <c r="D894" t="s">
        <v>11</v>
      </c>
      <c r="E894">
        <v>1</v>
      </c>
      <c r="F894">
        <v>50</v>
      </c>
      <c r="G894">
        <v>50</v>
      </c>
      <c r="H894" s="2">
        <f t="shared" si="13"/>
        <v>45046</v>
      </c>
    </row>
    <row r="895" spans="1:8">
      <c r="A895" s="1">
        <v>45174</v>
      </c>
      <c r="B895" t="s">
        <v>7</v>
      </c>
      <c r="C895">
        <v>52</v>
      </c>
      <c r="D895" t="s">
        <v>11</v>
      </c>
      <c r="E895">
        <v>1</v>
      </c>
      <c r="F895">
        <v>30</v>
      </c>
      <c r="G895">
        <v>30</v>
      </c>
      <c r="H895" s="2">
        <f t="shared" si="13"/>
        <v>45199</v>
      </c>
    </row>
    <row r="896" spans="1:8">
      <c r="A896" s="1">
        <v>45068</v>
      </c>
      <c r="B896" t="s">
        <v>9</v>
      </c>
      <c r="C896">
        <v>55</v>
      </c>
      <c r="D896" t="s">
        <v>10</v>
      </c>
      <c r="E896">
        <v>4</v>
      </c>
      <c r="F896">
        <v>30</v>
      </c>
      <c r="G896">
        <v>120</v>
      </c>
      <c r="H896" s="2">
        <f t="shared" si="13"/>
        <v>45077</v>
      </c>
    </row>
    <row r="897" spans="1:8">
      <c r="A897" s="1">
        <v>45228</v>
      </c>
      <c r="B897" t="s">
        <v>9</v>
      </c>
      <c r="C897">
        <v>30</v>
      </c>
      <c r="D897" t="s">
        <v>11</v>
      </c>
      <c r="E897">
        <v>2</v>
      </c>
      <c r="F897">
        <v>25</v>
      </c>
      <c r="G897">
        <v>50</v>
      </c>
      <c r="H897" s="2">
        <f t="shared" si="13"/>
        <v>45230</v>
      </c>
    </row>
    <row r="898" spans="1:8">
      <c r="A898" s="1">
        <v>45195</v>
      </c>
      <c r="B898" t="s">
        <v>9</v>
      </c>
      <c r="C898">
        <v>64</v>
      </c>
      <c r="D898" t="s">
        <v>11</v>
      </c>
      <c r="E898">
        <v>2</v>
      </c>
      <c r="F898">
        <v>50</v>
      </c>
      <c r="G898">
        <v>100</v>
      </c>
      <c r="H898" s="2">
        <f t="shared" si="13"/>
        <v>45199</v>
      </c>
    </row>
    <row r="899" spans="1:8">
      <c r="A899" s="1">
        <v>45232</v>
      </c>
      <c r="B899" t="s">
        <v>9</v>
      </c>
      <c r="C899">
        <v>42</v>
      </c>
      <c r="D899" t="s">
        <v>10</v>
      </c>
      <c r="E899">
        <v>3</v>
      </c>
      <c r="F899">
        <v>30</v>
      </c>
      <c r="G899">
        <v>90</v>
      </c>
      <c r="H899" s="2">
        <f t="shared" ref="H899:H962" si="14">EOMONTH(A899,0)</f>
        <v>45260</v>
      </c>
    </row>
    <row r="900" spans="1:8">
      <c r="A900" s="1">
        <v>45071</v>
      </c>
      <c r="B900" t="s">
        <v>7</v>
      </c>
      <c r="C900">
        <v>26</v>
      </c>
      <c r="D900" t="s">
        <v>10</v>
      </c>
      <c r="E900">
        <v>2</v>
      </c>
      <c r="F900">
        <v>300</v>
      </c>
      <c r="G900">
        <v>600</v>
      </c>
      <c r="H900" s="2">
        <f t="shared" si="14"/>
        <v>45077</v>
      </c>
    </row>
    <row r="901" spans="1:8">
      <c r="A901" s="1">
        <v>44978</v>
      </c>
      <c r="B901" t="s">
        <v>7</v>
      </c>
      <c r="C901">
        <v>21</v>
      </c>
      <c r="D901" t="s">
        <v>10</v>
      </c>
      <c r="E901">
        <v>2</v>
      </c>
      <c r="F901">
        <v>30</v>
      </c>
      <c r="G901">
        <v>60</v>
      </c>
      <c r="H901" s="2">
        <f t="shared" si="14"/>
        <v>44985</v>
      </c>
    </row>
    <row r="902" spans="1:8">
      <c r="A902" s="1">
        <v>45026</v>
      </c>
      <c r="B902" t="s">
        <v>7</v>
      </c>
      <c r="C902">
        <v>31</v>
      </c>
      <c r="D902" t="s">
        <v>11</v>
      </c>
      <c r="E902">
        <v>1</v>
      </c>
      <c r="F902">
        <v>30</v>
      </c>
      <c r="G902">
        <v>30</v>
      </c>
      <c r="H902" s="2">
        <f t="shared" si="14"/>
        <v>45046</v>
      </c>
    </row>
    <row r="903" spans="1:8">
      <c r="A903" s="1">
        <v>45078</v>
      </c>
      <c r="B903" t="s">
        <v>9</v>
      </c>
      <c r="C903">
        <v>54</v>
      </c>
      <c r="D903" t="s">
        <v>8</v>
      </c>
      <c r="E903">
        <v>1</v>
      </c>
      <c r="F903">
        <v>50</v>
      </c>
      <c r="G903">
        <v>50</v>
      </c>
      <c r="H903" s="2">
        <f t="shared" si="14"/>
        <v>45107</v>
      </c>
    </row>
    <row r="904" spans="1:8">
      <c r="A904" s="1">
        <v>45043</v>
      </c>
      <c r="B904" t="s">
        <v>9</v>
      </c>
      <c r="C904">
        <v>51</v>
      </c>
      <c r="D904" t="s">
        <v>8</v>
      </c>
      <c r="E904">
        <v>4</v>
      </c>
      <c r="F904">
        <v>50</v>
      </c>
      <c r="G904">
        <v>200</v>
      </c>
      <c r="H904" s="2">
        <f t="shared" si="14"/>
        <v>45046</v>
      </c>
    </row>
    <row r="905" spans="1:8">
      <c r="A905" s="1">
        <v>45111</v>
      </c>
      <c r="B905" t="s">
        <v>7</v>
      </c>
      <c r="C905">
        <v>28</v>
      </c>
      <c r="D905" t="s">
        <v>10</v>
      </c>
      <c r="E905">
        <v>1</v>
      </c>
      <c r="F905">
        <v>500</v>
      </c>
      <c r="G905">
        <v>500</v>
      </c>
      <c r="H905" s="2">
        <f t="shared" si="14"/>
        <v>45138</v>
      </c>
    </row>
    <row r="906" spans="1:8">
      <c r="A906" s="1">
        <v>45018</v>
      </c>
      <c r="B906" t="s">
        <v>7</v>
      </c>
      <c r="C906">
        <v>58</v>
      </c>
      <c r="D906" t="s">
        <v>8</v>
      </c>
      <c r="E906">
        <v>1</v>
      </c>
      <c r="F906">
        <v>300</v>
      </c>
      <c r="G906">
        <v>300</v>
      </c>
      <c r="H906" s="2">
        <f t="shared" si="14"/>
        <v>45046</v>
      </c>
    </row>
    <row r="907" spans="1:8">
      <c r="A907" s="1">
        <v>45081</v>
      </c>
      <c r="B907" t="s">
        <v>9</v>
      </c>
      <c r="C907">
        <v>20</v>
      </c>
      <c r="D907" t="s">
        <v>10</v>
      </c>
      <c r="E907">
        <v>1</v>
      </c>
      <c r="F907">
        <v>50</v>
      </c>
      <c r="G907">
        <v>50</v>
      </c>
      <c r="H907" s="2">
        <f t="shared" si="14"/>
        <v>45107</v>
      </c>
    </row>
    <row r="908" spans="1:8">
      <c r="A908" s="1">
        <v>44934</v>
      </c>
      <c r="B908" t="s">
        <v>9</v>
      </c>
      <c r="C908">
        <v>45</v>
      </c>
      <c r="D908" t="s">
        <v>11</v>
      </c>
      <c r="E908">
        <v>1</v>
      </c>
      <c r="F908">
        <v>25</v>
      </c>
      <c r="G908">
        <v>25</v>
      </c>
      <c r="H908" s="2">
        <f t="shared" si="14"/>
        <v>44957</v>
      </c>
    </row>
    <row r="909" spans="1:8">
      <c r="A909" s="1">
        <v>45289</v>
      </c>
      <c r="B909" t="s">
        <v>7</v>
      </c>
      <c r="C909">
        <v>46</v>
      </c>
      <c r="D909" t="s">
        <v>8</v>
      </c>
      <c r="E909">
        <v>4</v>
      </c>
      <c r="F909">
        <v>300</v>
      </c>
      <c r="G909">
        <v>1200</v>
      </c>
      <c r="H909" s="2">
        <f t="shared" si="14"/>
        <v>45291</v>
      </c>
    </row>
    <row r="910" spans="1:8">
      <c r="A910" s="1">
        <v>45200</v>
      </c>
      <c r="B910" t="s">
        <v>7</v>
      </c>
      <c r="C910">
        <v>26</v>
      </c>
      <c r="D910" t="s">
        <v>11</v>
      </c>
      <c r="E910">
        <v>1</v>
      </c>
      <c r="F910">
        <v>300</v>
      </c>
      <c r="G910">
        <v>300</v>
      </c>
      <c r="H910" s="2">
        <f t="shared" si="14"/>
        <v>45230</v>
      </c>
    </row>
    <row r="911" spans="1:8">
      <c r="A911" s="1">
        <v>44991</v>
      </c>
      <c r="B911" t="s">
        <v>9</v>
      </c>
      <c r="C911">
        <v>20</v>
      </c>
      <c r="D911" t="s">
        <v>8</v>
      </c>
      <c r="E911">
        <v>3</v>
      </c>
      <c r="F911">
        <v>50</v>
      </c>
      <c r="G911">
        <v>150</v>
      </c>
      <c r="H911" s="2">
        <f t="shared" si="14"/>
        <v>45016</v>
      </c>
    </row>
    <row r="912" spans="1:8">
      <c r="A912" s="1">
        <v>45067</v>
      </c>
      <c r="B912" t="s">
        <v>7</v>
      </c>
      <c r="C912">
        <v>42</v>
      </c>
      <c r="D912" t="s">
        <v>11</v>
      </c>
      <c r="E912">
        <v>3</v>
      </c>
      <c r="F912">
        <v>300</v>
      </c>
      <c r="G912">
        <v>900</v>
      </c>
      <c r="H912" s="2">
        <f t="shared" si="14"/>
        <v>45077</v>
      </c>
    </row>
    <row r="913" spans="1:8">
      <c r="A913" s="1">
        <v>44950</v>
      </c>
      <c r="B913" t="s">
        <v>7</v>
      </c>
      <c r="C913">
        <v>51</v>
      </c>
      <c r="D913" t="s">
        <v>8</v>
      </c>
      <c r="E913">
        <v>3</v>
      </c>
      <c r="F913">
        <v>50</v>
      </c>
      <c r="G913">
        <v>150</v>
      </c>
      <c r="H913" s="2">
        <f t="shared" si="14"/>
        <v>44957</v>
      </c>
    </row>
    <row r="914" spans="1:8">
      <c r="A914" s="1">
        <v>44954</v>
      </c>
      <c r="B914" t="s">
        <v>7</v>
      </c>
      <c r="C914">
        <v>29</v>
      </c>
      <c r="D914" t="s">
        <v>11</v>
      </c>
      <c r="E914">
        <v>3</v>
      </c>
      <c r="F914">
        <v>30</v>
      </c>
      <c r="G914">
        <v>90</v>
      </c>
      <c r="H914" s="2">
        <f t="shared" si="14"/>
        <v>44957</v>
      </c>
    </row>
    <row r="915" spans="1:8">
      <c r="A915" s="1">
        <v>45210</v>
      </c>
      <c r="B915" t="s">
        <v>9</v>
      </c>
      <c r="C915">
        <v>59</v>
      </c>
      <c r="D915" t="s">
        <v>11</v>
      </c>
      <c r="E915">
        <v>1</v>
      </c>
      <c r="F915">
        <v>500</v>
      </c>
      <c r="G915">
        <v>500</v>
      </c>
      <c r="H915" s="2">
        <f t="shared" si="14"/>
        <v>45230</v>
      </c>
    </row>
    <row r="916" spans="1:8">
      <c r="A916" s="1">
        <v>45076</v>
      </c>
      <c r="B916" t="s">
        <v>9</v>
      </c>
      <c r="C916">
        <v>26</v>
      </c>
      <c r="D916" t="s">
        <v>8</v>
      </c>
      <c r="E916">
        <v>3</v>
      </c>
      <c r="F916">
        <v>30</v>
      </c>
      <c r="G916">
        <v>90</v>
      </c>
      <c r="H916" s="2">
        <f t="shared" si="14"/>
        <v>45077</v>
      </c>
    </row>
    <row r="917" spans="1:8">
      <c r="A917" s="1">
        <v>45284</v>
      </c>
      <c r="B917" t="s">
        <v>9</v>
      </c>
      <c r="C917">
        <v>32</v>
      </c>
      <c r="D917" t="s">
        <v>11</v>
      </c>
      <c r="E917">
        <v>1</v>
      </c>
      <c r="F917">
        <v>50</v>
      </c>
      <c r="G917">
        <v>50</v>
      </c>
      <c r="H917" s="2">
        <f t="shared" si="14"/>
        <v>45291</v>
      </c>
    </row>
    <row r="918" spans="1:8">
      <c r="A918" s="1">
        <v>44991</v>
      </c>
      <c r="B918" t="s">
        <v>9</v>
      </c>
      <c r="C918">
        <v>57</v>
      </c>
      <c r="D918" t="s">
        <v>11</v>
      </c>
      <c r="E918">
        <v>4</v>
      </c>
      <c r="F918">
        <v>50</v>
      </c>
      <c r="G918">
        <v>200</v>
      </c>
      <c r="H918" s="2">
        <f t="shared" si="14"/>
        <v>45016</v>
      </c>
    </row>
    <row r="919" spans="1:8">
      <c r="A919" s="1">
        <v>45253</v>
      </c>
      <c r="B919" t="s">
        <v>9</v>
      </c>
      <c r="C919">
        <v>42</v>
      </c>
      <c r="D919" t="s">
        <v>11</v>
      </c>
      <c r="E919">
        <v>3</v>
      </c>
      <c r="F919">
        <v>30</v>
      </c>
      <c r="G919">
        <v>90</v>
      </c>
      <c r="H919" s="2">
        <f t="shared" si="14"/>
        <v>45260</v>
      </c>
    </row>
    <row r="920" spans="1:8">
      <c r="A920" s="1">
        <v>45178</v>
      </c>
      <c r="B920" t="s">
        <v>9</v>
      </c>
      <c r="C920">
        <v>22</v>
      </c>
      <c r="D920" t="s">
        <v>8</v>
      </c>
      <c r="E920">
        <v>2</v>
      </c>
      <c r="F920">
        <v>25</v>
      </c>
      <c r="G920">
        <v>50</v>
      </c>
      <c r="H920" s="2">
        <f t="shared" si="14"/>
        <v>45199</v>
      </c>
    </row>
    <row r="921" spans="1:8">
      <c r="A921" s="1">
        <v>44979</v>
      </c>
      <c r="B921" t="s">
        <v>9</v>
      </c>
      <c r="C921">
        <v>28</v>
      </c>
      <c r="D921" t="s">
        <v>8</v>
      </c>
      <c r="E921">
        <v>3</v>
      </c>
      <c r="F921">
        <v>25</v>
      </c>
      <c r="G921">
        <v>75</v>
      </c>
      <c r="H921" s="2">
        <f t="shared" si="14"/>
        <v>44985</v>
      </c>
    </row>
    <row r="922" spans="1:8">
      <c r="A922" s="1">
        <v>44933</v>
      </c>
      <c r="B922" t="s">
        <v>7</v>
      </c>
      <c r="C922">
        <v>51</v>
      </c>
      <c r="D922" t="s">
        <v>11</v>
      </c>
      <c r="E922">
        <v>3</v>
      </c>
      <c r="F922">
        <v>25</v>
      </c>
      <c r="G922">
        <v>75</v>
      </c>
      <c r="H922" s="2">
        <f t="shared" si="14"/>
        <v>44957</v>
      </c>
    </row>
    <row r="923" spans="1:8">
      <c r="A923" s="1">
        <v>45220</v>
      </c>
      <c r="B923" t="s">
        <v>7</v>
      </c>
      <c r="C923">
        <v>41</v>
      </c>
      <c r="D923" t="s">
        <v>11</v>
      </c>
      <c r="E923">
        <v>1</v>
      </c>
      <c r="F923">
        <v>50</v>
      </c>
      <c r="G923">
        <v>50</v>
      </c>
      <c r="H923" s="2">
        <f t="shared" si="14"/>
        <v>45230</v>
      </c>
    </row>
    <row r="924" spans="1:8">
      <c r="A924" s="1">
        <v>45072</v>
      </c>
      <c r="B924" t="s">
        <v>7</v>
      </c>
      <c r="C924">
        <v>32</v>
      </c>
      <c r="D924" t="s">
        <v>8</v>
      </c>
      <c r="E924">
        <v>3</v>
      </c>
      <c r="F924">
        <v>300</v>
      </c>
      <c r="G924">
        <v>900</v>
      </c>
      <c r="H924" s="2">
        <f t="shared" si="14"/>
        <v>45077</v>
      </c>
    </row>
    <row r="925" spans="1:8">
      <c r="A925" s="1">
        <v>45167</v>
      </c>
      <c r="B925" t="s">
        <v>7</v>
      </c>
      <c r="C925">
        <v>55</v>
      </c>
      <c r="D925" t="s">
        <v>8</v>
      </c>
      <c r="E925">
        <v>2</v>
      </c>
      <c r="F925">
        <v>50</v>
      </c>
      <c r="G925">
        <v>100</v>
      </c>
      <c r="H925" s="2">
        <f t="shared" si="14"/>
        <v>45169</v>
      </c>
    </row>
    <row r="926" spans="1:8">
      <c r="A926" s="1">
        <v>45172</v>
      </c>
      <c r="B926" t="s">
        <v>7</v>
      </c>
      <c r="C926">
        <v>25</v>
      </c>
      <c r="D926" t="s">
        <v>11</v>
      </c>
      <c r="E926">
        <v>1</v>
      </c>
      <c r="F926">
        <v>300</v>
      </c>
      <c r="G926">
        <v>300</v>
      </c>
      <c r="H926" s="2">
        <f t="shared" si="14"/>
        <v>45199</v>
      </c>
    </row>
    <row r="927" spans="1:8">
      <c r="A927" s="1">
        <v>45152</v>
      </c>
      <c r="B927" t="s">
        <v>7</v>
      </c>
      <c r="C927">
        <v>22</v>
      </c>
      <c r="D927" t="s">
        <v>11</v>
      </c>
      <c r="E927">
        <v>1</v>
      </c>
      <c r="F927">
        <v>30</v>
      </c>
      <c r="G927">
        <v>30</v>
      </c>
      <c r="H927" s="2">
        <f t="shared" si="14"/>
        <v>45169</v>
      </c>
    </row>
    <row r="928" spans="1:8">
      <c r="A928" s="1">
        <v>45101</v>
      </c>
      <c r="B928" t="s">
        <v>7</v>
      </c>
      <c r="C928">
        <v>43</v>
      </c>
      <c r="D928" t="s">
        <v>11</v>
      </c>
      <c r="E928">
        <v>4</v>
      </c>
      <c r="F928">
        <v>500</v>
      </c>
      <c r="G928">
        <v>2000</v>
      </c>
      <c r="H928" s="2">
        <f t="shared" si="14"/>
        <v>45107</v>
      </c>
    </row>
    <row r="929" spans="1:8">
      <c r="A929" s="1">
        <v>45021</v>
      </c>
      <c r="B929" t="s">
        <v>9</v>
      </c>
      <c r="C929">
        <v>35</v>
      </c>
      <c r="D929" t="s">
        <v>10</v>
      </c>
      <c r="E929">
        <v>4</v>
      </c>
      <c r="F929">
        <v>300</v>
      </c>
      <c r="G929">
        <v>1200</v>
      </c>
      <c r="H929" s="2">
        <f t="shared" si="14"/>
        <v>45046</v>
      </c>
    </row>
    <row r="930" spans="1:8">
      <c r="A930" s="1">
        <v>44953</v>
      </c>
      <c r="B930" t="s">
        <v>9</v>
      </c>
      <c r="C930">
        <v>23</v>
      </c>
      <c r="D930" t="s">
        <v>8</v>
      </c>
      <c r="E930">
        <v>3</v>
      </c>
      <c r="F930">
        <v>25</v>
      </c>
      <c r="G930">
        <v>75</v>
      </c>
      <c r="H930" s="2">
        <f t="shared" si="14"/>
        <v>44957</v>
      </c>
    </row>
    <row r="931" spans="1:8">
      <c r="A931" s="1">
        <v>45056</v>
      </c>
      <c r="B931" t="s">
        <v>7</v>
      </c>
      <c r="C931">
        <v>54</v>
      </c>
      <c r="D931" t="s">
        <v>10</v>
      </c>
      <c r="E931">
        <v>4</v>
      </c>
      <c r="F931">
        <v>50</v>
      </c>
      <c r="G931">
        <v>200</v>
      </c>
      <c r="H931" s="2">
        <f t="shared" si="14"/>
        <v>45077</v>
      </c>
    </row>
    <row r="932" spans="1:8">
      <c r="A932" s="1">
        <v>45171</v>
      </c>
      <c r="B932" t="s">
        <v>7</v>
      </c>
      <c r="C932">
        <v>30</v>
      </c>
      <c r="D932" t="s">
        <v>8</v>
      </c>
      <c r="E932">
        <v>4</v>
      </c>
      <c r="F932">
        <v>30</v>
      </c>
      <c r="G932">
        <v>120</v>
      </c>
      <c r="H932" s="2">
        <f t="shared" si="14"/>
        <v>45199</v>
      </c>
    </row>
    <row r="933" spans="1:8">
      <c r="A933" s="1">
        <v>44985</v>
      </c>
      <c r="B933" t="s">
        <v>9</v>
      </c>
      <c r="C933">
        <v>45</v>
      </c>
      <c r="D933" t="s">
        <v>8</v>
      </c>
      <c r="E933">
        <v>4</v>
      </c>
      <c r="F933">
        <v>25</v>
      </c>
      <c r="G933">
        <v>100</v>
      </c>
      <c r="H933" s="2">
        <f t="shared" si="14"/>
        <v>44985</v>
      </c>
    </row>
    <row r="934" spans="1:8">
      <c r="A934" s="1">
        <v>44960</v>
      </c>
      <c r="B934" t="s">
        <v>7</v>
      </c>
      <c r="C934">
        <v>22</v>
      </c>
      <c r="D934" t="s">
        <v>8</v>
      </c>
      <c r="E934">
        <v>1</v>
      </c>
      <c r="F934">
        <v>30</v>
      </c>
      <c r="G934">
        <v>30</v>
      </c>
      <c r="H934" s="2">
        <f t="shared" si="14"/>
        <v>44985</v>
      </c>
    </row>
    <row r="935" spans="1:8">
      <c r="A935" s="1">
        <v>45132</v>
      </c>
      <c r="B935" t="s">
        <v>7</v>
      </c>
      <c r="C935">
        <v>30</v>
      </c>
      <c r="D935" t="s">
        <v>8</v>
      </c>
      <c r="E935">
        <v>1</v>
      </c>
      <c r="F935">
        <v>500</v>
      </c>
      <c r="G935">
        <v>500</v>
      </c>
      <c r="H935" s="2">
        <f t="shared" si="14"/>
        <v>45138</v>
      </c>
    </row>
    <row r="936" spans="1:8">
      <c r="A936" s="1">
        <v>45178</v>
      </c>
      <c r="B936" t="s">
        <v>9</v>
      </c>
      <c r="C936">
        <v>34</v>
      </c>
      <c r="D936" t="s">
        <v>8</v>
      </c>
      <c r="E936">
        <v>1</v>
      </c>
      <c r="F936">
        <v>50</v>
      </c>
      <c r="G936">
        <v>50</v>
      </c>
      <c r="H936" s="2">
        <f t="shared" si="14"/>
        <v>45199</v>
      </c>
    </row>
    <row r="937" spans="1:8">
      <c r="A937" s="1">
        <v>44964</v>
      </c>
      <c r="B937" t="s">
        <v>7</v>
      </c>
      <c r="C937">
        <v>57</v>
      </c>
      <c r="D937" t="s">
        <v>8</v>
      </c>
      <c r="E937">
        <v>4</v>
      </c>
      <c r="F937">
        <v>50</v>
      </c>
      <c r="G937">
        <v>200</v>
      </c>
      <c r="H937" s="2">
        <f t="shared" si="14"/>
        <v>44985</v>
      </c>
    </row>
    <row r="938" spans="1:8">
      <c r="A938" s="1">
        <v>45222</v>
      </c>
      <c r="B938" t="s">
        <v>9</v>
      </c>
      <c r="C938">
        <v>62</v>
      </c>
      <c r="D938" t="s">
        <v>8</v>
      </c>
      <c r="E938">
        <v>1</v>
      </c>
      <c r="F938">
        <v>500</v>
      </c>
      <c r="G938">
        <v>500</v>
      </c>
      <c r="H938" s="2">
        <f t="shared" si="14"/>
        <v>45230</v>
      </c>
    </row>
    <row r="939" spans="1:8">
      <c r="A939" s="1">
        <v>45249</v>
      </c>
      <c r="B939" t="s">
        <v>7</v>
      </c>
      <c r="C939">
        <v>49</v>
      </c>
      <c r="D939" t="s">
        <v>10</v>
      </c>
      <c r="E939">
        <v>4</v>
      </c>
      <c r="F939">
        <v>50</v>
      </c>
      <c r="G939">
        <v>200</v>
      </c>
      <c r="H939" s="2">
        <f t="shared" si="14"/>
        <v>45260</v>
      </c>
    </row>
    <row r="940" spans="1:8">
      <c r="A940" s="1">
        <v>45278</v>
      </c>
      <c r="B940" t="s">
        <v>9</v>
      </c>
      <c r="C940">
        <v>46</v>
      </c>
      <c r="D940" t="s">
        <v>11</v>
      </c>
      <c r="E940">
        <v>1</v>
      </c>
      <c r="F940">
        <v>300</v>
      </c>
      <c r="G940">
        <v>300</v>
      </c>
      <c r="H940" s="2">
        <f t="shared" si="14"/>
        <v>45291</v>
      </c>
    </row>
    <row r="941" spans="1:8">
      <c r="A941" s="1">
        <v>44954</v>
      </c>
      <c r="B941" t="s">
        <v>9</v>
      </c>
      <c r="C941">
        <v>20</v>
      </c>
      <c r="D941" t="s">
        <v>11</v>
      </c>
      <c r="E941">
        <v>1</v>
      </c>
      <c r="F941">
        <v>30</v>
      </c>
      <c r="G941">
        <v>30</v>
      </c>
      <c r="H941" s="2">
        <f t="shared" si="14"/>
        <v>44957</v>
      </c>
    </row>
    <row r="942" spans="1:8">
      <c r="A942" s="1">
        <v>45004</v>
      </c>
      <c r="B942" t="s">
        <v>9</v>
      </c>
      <c r="C942">
        <v>57</v>
      </c>
      <c r="D942" t="s">
        <v>10</v>
      </c>
      <c r="E942">
        <v>2</v>
      </c>
      <c r="F942">
        <v>25</v>
      </c>
      <c r="G942">
        <v>50</v>
      </c>
      <c r="H942" s="2">
        <f t="shared" si="14"/>
        <v>45016</v>
      </c>
    </row>
    <row r="943" spans="1:8">
      <c r="A943" s="1">
        <v>45003</v>
      </c>
      <c r="B943" t="s">
        <v>7</v>
      </c>
      <c r="C943">
        <v>51</v>
      </c>
      <c r="D943" t="s">
        <v>10</v>
      </c>
      <c r="E943">
        <v>3</v>
      </c>
      <c r="F943">
        <v>500</v>
      </c>
      <c r="G943">
        <v>1500</v>
      </c>
      <c r="H943" s="2">
        <f t="shared" si="14"/>
        <v>45016</v>
      </c>
    </row>
    <row r="944" spans="1:8">
      <c r="A944" s="1">
        <v>45215</v>
      </c>
      <c r="B944" t="s">
        <v>9</v>
      </c>
      <c r="C944">
        <v>57</v>
      </c>
      <c r="D944" t="s">
        <v>10</v>
      </c>
      <c r="E944">
        <v>4</v>
      </c>
      <c r="F944">
        <v>300</v>
      </c>
      <c r="G944">
        <v>1200</v>
      </c>
      <c r="H944" s="2">
        <f t="shared" si="14"/>
        <v>45230</v>
      </c>
    </row>
    <row r="945" spans="1:8">
      <c r="A945" s="1">
        <v>45082</v>
      </c>
      <c r="B945" t="s">
        <v>7</v>
      </c>
      <c r="C945">
        <v>44</v>
      </c>
      <c r="D945" t="s">
        <v>10</v>
      </c>
      <c r="E945">
        <v>2</v>
      </c>
      <c r="F945">
        <v>25</v>
      </c>
      <c r="G945">
        <v>50</v>
      </c>
      <c r="H945" s="2">
        <f t="shared" si="14"/>
        <v>45107</v>
      </c>
    </row>
    <row r="946" spans="1:8">
      <c r="A946" s="1">
        <v>44970</v>
      </c>
      <c r="B946" t="s">
        <v>7</v>
      </c>
      <c r="C946">
        <v>30</v>
      </c>
      <c r="D946" t="s">
        <v>8</v>
      </c>
      <c r="E946">
        <v>1</v>
      </c>
      <c r="F946">
        <v>25</v>
      </c>
      <c r="G946">
        <v>25</v>
      </c>
      <c r="H946" s="2">
        <f t="shared" si="14"/>
        <v>44985</v>
      </c>
    </row>
    <row r="947" spans="1:8">
      <c r="A947" s="1">
        <v>45054</v>
      </c>
      <c r="B947" t="s">
        <v>7</v>
      </c>
      <c r="C947">
        <v>62</v>
      </c>
      <c r="D947" t="s">
        <v>11</v>
      </c>
      <c r="E947">
        <v>4</v>
      </c>
      <c r="F947">
        <v>500</v>
      </c>
      <c r="G947">
        <v>2000</v>
      </c>
      <c r="H947" s="2">
        <f t="shared" si="14"/>
        <v>45077</v>
      </c>
    </row>
    <row r="948" spans="1:8">
      <c r="A948" s="1">
        <v>44987</v>
      </c>
      <c r="B948" t="s">
        <v>7</v>
      </c>
      <c r="C948">
        <v>50</v>
      </c>
      <c r="D948" t="s">
        <v>8</v>
      </c>
      <c r="E948">
        <v>1</v>
      </c>
      <c r="F948">
        <v>300</v>
      </c>
      <c r="G948">
        <v>300</v>
      </c>
      <c r="H948" s="2">
        <f t="shared" si="14"/>
        <v>45016</v>
      </c>
    </row>
    <row r="949" spans="1:8">
      <c r="A949" s="1">
        <v>45212</v>
      </c>
      <c r="B949" t="s">
        <v>9</v>
      </c>
      <c r="C949">
        <v>23</v>
      </c>
      <c r="D949" t="s">
        <v>11</v>
      </c>
      <c r="E949">
        <v>3</v>
      </c>
      <c r="F949">
        <v>25</v>
      </c>
      <c r="G949">
        <v>75</v>
      </c>
      <c r="H949" s="2">
        <f t="shared" si="14"/>
        <v>45230</v>
      </c>
    </row>
    <row r="950" spans="1:8">
      <c r="A950" s="1">
        <v>45140</v>
      </c>
      <c r="B950" t="s">
        <v>9</v>
      </c>
      <c r="C950">
        <v>41</v>
      </c>
      <c r="D950" t="s">
        <v>11</v>
      </c>
      <c r="E950">
        <v>2</v>
      </c>
      <c r="F950">
        <v>25</v>
      </c>
      <c r="G950">
        <v>50</v>
      </c>
      <c r="H950" s="2">
        <f t="shared" si="14"/>
        <v>45169</v>
      </c>
    </row>
    <row r="951" spans="1:8">
      <c r="A951" s="1">
        <v>45237</v>
      </c>
      <c r="B951" t="s">
        <v>7</v>
      </c>
      <c r="C951">
        <v>36</v>
      </c>
      <c r="D951" t="s">
        <v>10</v>
      </c>
      <c r="E951">
        <v>3</v>
      </c>
      <c r="F951">
        <v>300</v>
      </c>
      <c r="G951">
        <v>900</v>
      </c>
      <c r="H951" s="2">
        <f t="shared" si="14"/>
        <v>45260</v>
      </c>
    </row>
    <row r="952" spans="1:8">
      <c r="A952" s="1">
        <v>45232</v>
      </c>
      <c r="B952" t="s">
        <v>7</v>
      </c>
      <c r="C952">
        <v>33</v>
      </c>
      <c r="D952" t="s">
        <v>8</v>
      </c>
      <c r="E952">
        <v>2</v>
      </c>
      <c r="F952">
        <v>50</v>
      </c>
      <c r="G952">
        <v>100</v>
      </c>
      <c r="H952" s="2">
        <f t="shared" si="14"/>
        <v>45260</v>
      </c>
    </row>
    <row r="953" spans="1:8">
      <c r="A953" s="1">
        <v>45243</v>
      </c>
      <c r="B953" t="s">
        <v>9</v>
      </c>
      <c r="C953">
        <v>57</v>
      </c>
      <c r="D953" t="s">
        <v>10</v>
      </c>
      <c r="E953">
        <v>1</v>
      </c>
      <c r="F953">
        <v>25</v>
      </c>
      <c r="G953">
        <v>25</v>
      </c>
      <c r="H953" s="2">
        <f t="shared" si="14"/>
        <v>45260</v>
      </c>
    </row>
    <row r="954" spans="1:8">
      <c r="A954" s="1">
        <v>45042</v>
      </c>
      <c r="B954" t="s">
        <v>7</v>
      </c>
      <c r="C954">
        <v>45</v>
      </c>
      <c r="D954" t="s">
        <v>8</v>
      </c>
      <c r="E954">
        <v>3</v>
      </c>
      <c r="F954">
        <v>30</v>
      </c>
      <c r="G954">
        <v>90</v>
      </c>
      <c r="H954" s="2">
        <f t="shared" si="14"/>
        <v>45046</v>
      </c>
    </row>
    <row r="955" spans="1:8">
      <c r="A955" s="1">
        <v>45194</v>
      </c>
      <c r="B955" t="s">
        <v>9</v>
      </c>
      <c r="C955">
        <v>50</v>
      </c>
      <c r="D955" t="s">
        <v>11</v>
      </c>
      <c r="E955">
        <v>3</v>
      </c>
      <c r="F955">
        <v>300</v>
      </c>
      <c r="G955">
        <v>900</v>
      </c>
      <c r="H955" s="2">
        <f t="shared" si="14"/>
        <v>45199</v>
      </c>
    </row>
    <row r="956" spans="1:8">
      <c r="A956" s="1">
        <v>45121</v>
      </c>
      <c r="B956" t="s">
        <v>7</v>
      </c>
      <c r="C956">
        <v>58</v>
      </c>
      <c r="D956" t="s">
        <v>10</v>
      </c>
      <c r="E956">
        <v>1</v>
      </c>
      <c r="F956">
        <v>25</v>
      </c>
      <c r="G956">
        <v>25</v>
      </c>
      <c r="H956" s="2">
        <f t="shared" si="14"/>
        <v>45138</v>
      </c>
    </row>
    <row r="957" spans="1:8">
      <c r="A957" s="1">
        <v>45157</v>
      </c>
      <c r="B957" t="s">
        <v>7</v>
      </c>
      <c r="C957">
        <v>30</v>
      </c>
      <c r="D957" t="s">
        <v>10</v>
      </c>
      <c r="E957">
        <v>3</v>
      </c>
      <c r="F957">
        <v>500</v>
      </c>
      <c r="G957">
        <v>1500</v>
      </c>
      <c r="H957" s="2">
        <f t="shared" si="14"/>
        <v>45169</v>
      </c>
    </row>
    <row r="958" spans="1:8">
      <c r="A958" s="1">
        <v>45153</v>
      </c>
      <c r="B958" t="s">
        <v>9</v>
      </c>
      <c r="C958">
        <v>60</v>
      </c>
      <c r="D958" t="s">
        <v>11</v>
      </c>
      <c r="E958">
        <v>4</v>
      </c>
      <c r="F958">
        <v>30</v>
      </c>
      <c r="G958">
        <v>120</v>
      </c>
      <c r="H958" s="2">
        <f t="shared" si="14"/>
        <v>45169</v>
      </c>
    </row>
    <row r="959" spans="1:8">
      <c r="A959" s="1">
        <v>45079</v>
      </c>
      <c r="B959" t="s">
        <v>7</v>
      </c>
      <c r="C959">
        <v>62</v>
      </c>
      <c r="D959" t="s">
        <v>11</v>
      </c>
      <c r="E959">
        <v>2</v>
      </c>
      <c r="F959">
        <v>25</v>
      </c>
      <c r="G959">
        <v>50</v>
      </c>
      <c r="H959" s="2">
        <f t="shared" si="14"/>
        <v>45107</v>
      </c>
    </row>
    <row r="960" spans="1:8">
      <c r="A960" s="1">
        <v>45228</v>
      </c>
      <c r="B960" t="s">
        <v>9</v>
      </c>
      <c r="C960">
        <v>42</v>
      </c>
      <c r="D960" t="s">
        <v>11</v>
      </c>
      <c r="E960">
        <v>2</v>
      </c>
      <c r="F960">
        <v>30</v>
      </c>
      <c r="G960">
        <v>60</v>
      </c>
      <c r="H960" s="2">
        <f t="shared" si="14"/>
        <v>45230</v>
      </c>
    </row>
    <row r="961" spans="1:8">
      <c r="A961" s="1">
        <v>45146</v>
      </c>
      <c r="B961" t="s">
        <v>7</v>
      </c>
      <c r="C961">
        <v>59</v>
      </c>
      <c r="D961" t="s">
        <v>10</v>
      </c>
      <c r="E961">
        <v>2</v>
      </c>
      <c r="F961">
        <v>30</v>
      </c>
      <c r="G961">
        <v>60</v>
      </c>
      <c r="H961" s="2">
        <f t="shared" si="14"/>
        <v>45169</v>
      </c>
    </row>
    <row r="962" spans="1:8">
      <c r="A962" s="1">
        <v>45083</v>
      </c>
      <c r="B962" t="s">
        <v>7</v>
      </c>
      <c r="C962">
        <v>53</v>
      </c>
      <c r="D962" t="s">
        <v>8</v>
      </c>
      <c r="E962">
        <v>4</v>
      </c>
      <c r="F962">
        <v>50</v>
      </c>
      <c r="G962">
        <v>200</v>
      </c>
      <c r="H962" s="2">
        <f t="shared" si="14"/>
        <v>45107</v>
      </c>
    </row>
    <row r="963" spans="1:8">
      <c r="A963" s="1">
        <v>45218</v>
      </c>
      <c r="B963" t="s">
        <v>7</v>
      </c>
      <c r="C963">
        <v>44</v>
      </c>
      <c r="D963" t="s">
        <v>10</v>
      </c>
      <c r="E963">
        <v>2</v>
      </c>
      <c r="F963">
        <v>30</v>
      </c>
      <c r="G963">
        <v>60</v>
      </c>
      <c r="H963" s="2">
        <f t="shared" ref="H963:H1001" si="15">EOMONTH(A963,0)</f>
        <v>45230</v>
      </c>
    </row>
    <row r="964" spans="1:8">
      <c r="A964" s="1">
        <v>45244</v>
      </c>
      <c r="B964" t="s">
        <v>9</v>
      </c>
      <c r="C964">
        <v>55</v>
      </c>
      <c r="D964" t="s">
        <v>8</v>
      </c>
      <c r="E964">
        <v>1</v>
      </c>
      <c r="F964">
        <v>50</v>
      </c>
      <c r="G964">
        <v>50</v>
      </c>
      <c r="H964" s="2">
        <f t="shared" si="15"/>
        <v>45260</v>
      </c>
    </row>
    <row r="965" spans="1:8">
      <c r="A965" s="1">
        <v>44957</v>
      </c>
      <c r="B965" t="s">
        <v>7</v>
      </c>
      <c r="C965">
        <v>24</v>
      </c>
      <c r="D965" t="s">
        <v>10</v>
      </c>
      <c r="E965">
        <v>3</v>
      </c>
      <c r="F965">
        <v>300</v>
      </c>
      <c r="G965">
        <v>900</v>
      </c>
      <c r="H965" s="2">
        <f t="shared" si="15"/>
        <v>44957</v>
      </c>
    </row>
    <row r="966" spans="1:8">
      <c r="A966" s="1">
        <v>45239</v>
      </c>
      <c r="B966" t="s">
        <v>7</v>
      </c>
      <c r="C966">
        <v>22</v>
      </c>
      <c r="D966" t="s">
        <v>10</v>
      </c>
      <c r="E966">
        <v>4</v>
      </c>
      <c r="F966">
        <v>50</v>
      </c>
      <c r="G966">
        <v>200</v>
      </c>
      <c r="H966" s="2">
        <f t="shared" si="15"/>
        <v>45260</v>
      </c>
    </row>
    <row r="967" spans="1:8">
      <c r="A967" s="1">
        <v>44977</v>
      </c>
      <c r="B967" t="s">
        <v>7</v>
      </c>
      <c r="C967">
        <v>60</v>
      </c>
      <c r="D967" t="s">
        <v>11</v>
      </c>
      <c r="E967">
        <v>2</v>
      </c>
      <c r="F967">
        <v>500</v>
      </c>
      <c r="G967">
        <v>1000</v>
      </c>
      <c r="H967" s="2">
        <f t="shared" si="15"/>
        <v>44985</v>
      </c>
    </row>
    <row r="968" spans="1:8">
      <c r="A968" s="1">
        <v>45033</v>
      </c>
      <c r="B968" t="s">
        <v>7</v>
      </c>
      <c r="C968">
        <v>62</v>
      </c>
      <c r="D968" t="s">
        <v>8</v>
      </c>
      <c r="E968">
        <v>1</v>
      </c>
      <c r="F968">
        <v>25</v>
      </c>
      <c r="G968">
        <v>25</v>
      </c>
      <c r="H968" s="2">
        <f t="shared" si="15"/>
        <v>45046</v>
      </c>
    </row>
    <row r="969" spans="1:8">
      <c r="A969" s="1">
        <v>45247</v>
      </c>
      <c r="B969" t="s">
        <v>9</v>
      </c>
      <c r="C969">
        <v>48</v>
      </c>
      <c r="D969" t="s">
        <v>10</v>
      </c>
      <c r="E969">
        <v>3</v>
      </c>
      <c r="F969">
        <v>300</v>
      </c>
      <c r="G969">
        <v>900</v>
      </c>
      <c r="H969" s="2">
        <f t="shared" si="15"/>
        <v>45260</v>
      </c>
    </row>
    <row r="970" spans="1:8">
      <c r="A970" s="1">
        <v>45035</v>
      </c>
      <c r="B970" t="s">
        <v>9</v>
      </c>
      <c r="C970">
        <v>40</v>
      </c>
      <c r="D970" t="s">
        <v>10</v>
      </c>
      <c r="E970">
        <v>3</v>
      </c>
      <c r="F970">
        <v>300</v>
      </c>
      <c r="G970">
        <v>900</v>
      </c>
      <c r="H970" s="2">
        <f t="shared" si="15"/>
        <v>45046</v>
      </c>
    </row>
    <row r="971" spans="1:8">
      <c r="A971" s="1">
        <v>45062</v>
      </c>
      <c r="B971" t="s">
        <v>7</v>
      </c>
      <c r="C971">
        <v>59</v>
      </c>
      <c r="D971" t="s">
        <v>11</v>
      </c>
      <c r="E971">
        <v>4</v>
      </c>
      <c r="F971">
        <v>500</v>
      </c>
      <c r="G971">
        <v>2000</v>
      </c>
      <c r="H971" s="2">
        <f t="shared" si="15"/>
        <v>45077</v>
      </c>
    </row>
    <row r="972" spans="1:8">
      <c r="A972" s="1">
        <v>45265</v>
      </c>
      <c r="B972" t="s">
        <v>9</v>
      </c>
      <c r="C972">
        <v>27</v>
      </c>
      <c r="D972" t="s">
        <v>11</v>
      </c>
      <c r="E972">
        <v>4</v>
      </c>
      <c r="F972">
        <v>50</v>
      </c>
      <c r="G972">
        <v>200</v>
      </c>
      <c r="H972" s="2">
        <f t="shared" si="15"/>
        <v>45291</v>
      </c>
    </row>
    <row r="973" spans="1:8">
      <c r="A973" s="1">
        <v>44968</v>
      </c>
      <c r="B973" t="s">
        <v>7</v>
      </c>
      <c r="C973">
        <v>49</v>
      </c>
      <c r="D973" t="s">
        <v>8</v>
      </c>
      <c r="E973">
        <v>4</v>
      </c>
      <c r="F973">
        <v>25</v>
      </c>
      <c r="G973">
        <v>100</v>
      </c>
      <c r="H973" s="2">
        <f t="shared" si="15"/>
        <v>44985</v>
      </c>
    </row>
    <row r="974" spans="1:8">
      <c r="A974" s="1">
        <v>45007</v>
      </c>
      <c r="B974" t="s">
        <v>7</v>
      </c>
      <c r="C974">
        <v>60</v>
      </c>
      <c r="D974" t="s">
        <v>10</v>
      </c>
      <c r="E974">
        <v>1</v>
      </c>
      <c r="F974">
        <v>50</v>
      </c>
      <c r="G974">
        <v>50</v>
      </c>
      <c r="H974" s="2">
        <f t="shared" si="15"/>
        <v>45016</v>
      </c>
    </row>
    <row r="975" spans="1:8">
      <c r="A975" s="1">
        <v>45049</v>
      </c>
      <c r="B975" t="s">
        <v>7</v>
      </c>
      <c r="C975">
        <v>47</v>
      </c>
      <c r="D975" t="s">
        <v>8</v>
      </c>
      <c r="E975">
        <v>1</v>
      </c>
      <c r="F975">
        <v>30</v>
      </c>
      <c r="G975">
        <v>30</v>
      </c>
      <c r="H975" s="2">
        <f t="shared" si="15"/>
        <v>45077</v>
      </c>
    </row>
    <row r="976" spans="1:8">
      <c r="A976" s="1">
        <v>45015</v>
      </c>
      <c r="B976" t="s">
        <v>9</v>
      </c>
      <c r="C976">
        <v>56</v>
      </c>
      <c r="D976" t="s">
        <v>10</v>
      </c>
      <c r="E976">
        <v>4</v>
      </c>
      <c r="F976">
        <v>50</v>
      </c>
      <c r="G976">
        <v>200</v>
      </c>
      <c r="H976" s="2">
        <f t="shared" si="15"/>
        <v>45016</v>
      </c>
    </row>
    <row r="977" spans="1:8">
      <c r="A977" s="1">
        <v>45209</v>
      </c>
      <c r="B977" t="s">
        <v>9</v>
      </c>
      <c r="C977">
        <v>48</v>
      </c>
      <c r="D977" t="s">
        <v>8</v>
      </c>
      <c r="E977">
        <v>2</v>
      </c>
      <c r="F977">
        <v>300</v>
      </c>
      <c r="G977">
        <v>600</v>
      </c>
      <c r="H977" s="2">
        <f t="shared" si="15"/>
        <v>45230</v>
      </c>
    </row>
    <row r="978" spans="1:8">
      <c r="A978" s="1">
        <v>44965</v>
      </c>
      <c r="B978" t="s">
        <v>9</v>
      </c>
      <c r="C978">
        <v>35</v>
      </c>
      <c r="D978" t="s">
        <v>11</v>
      </c>
      <c r="E978">
        <v>3</v>
      </c>
      <c r="F978">
        <v>25</v>
      </c>
      <c r="G978">
        <v>75</v>
      </c>
      <c r="H978" s="2">
        <f t="shared" si="15"/>
        <v>44985</v>
      </c>
    </row>
    <row r="979" spans="1:8">
      <c r="A979" s="1">
        <v>45007</v>
      </c>
      <c r="B979" t="s">
        <v>9</v>
      </c>
      <c r="C979">
        <v>53</v>
      </c>
      <c r="D979" t="s">
        <v>10</v>
      </c>
      <c r="E979">
        <v>3</v>
      </c>
      <c r="F979">
        <v>50</v>
      </c>
      <c r="G979">
        <v>150</v>
      </c>
      <c r="H979" s="2">
        <f t="shared" si="15"/>
        <v>45016</v>
      </c>
    </row>
    <row r="980" spans="1:8">
      <c r="A980" s="1">
        <v>44928</v>
      </c>
      <c r="B980" t="s">
        <v>9</v>
      </c>
      <c r="C980">
        <v>19</v>
      </c>
      <c r="D980" t="s">
        <v>8</v>
      </c>
      <c r="E980">
        <v>1</v>
      </c>
      <c r="F980">
        <v>25</v>
      </c>
      <c r="G980">
        <v>25</v>
      </c>
      <c r="H980" s="2">
        <f t="shared" si="15"/>
        <v>44957</v>
      </c>
    </row>
    <row r="981" spans="1:8">
      <c r="A981" s="1">
        <v>45136</v>
      </c>
      <c r="B981" t="s">
        <v>9</v>
      </c>
      <c r="C981">
        <v>31</v>
      </c>
      <c r="D981" t="s">
        <v>11</v>
      </c>
      <c r="E981">
        <v>3</v>
      </c>
      <c r="F981">
        <v>25</v>
      </c>
      <c r="G981">
        <v>75</v>
      </c>
      <c r="H981" s="2">
        <f t="shared" si="15"/>
        <v>45138</v>
      </c>
    </row>
    <row r="982" spans="1:8">
      <c r="A982" s="1">
        <v>45157</v>
      </c>
      <c r="B982" t="s">
        <v>9</v>
      </c>
      <c r="C982">
        <v>30</v>
      </c>
      <c r="D982" t="s">
        <v>11</v>
      </c>
      <c r="E982">
        <v>2</v>
      </c>
      <c r="F982">
        <v>30</v>
      </c>
      <c r="G982">
        <v>60</v>
      </c>
      <c r="H982" s="2">
        <f t="shared" si="15"/>
        <v>45169</v>
      </c>
    </row>
    <row r="983" spans="1:8">
      <c r="A983" s="1">
        <v>45279</v>
      </c>
      <c r="B983" t="s">
        <v>9</v>
      </c>
      <c r="C983">
        <v>46</v>
      </c>
      <c r="D983" t="s">
        <v>8</v>
      </c>
      <c r="E983">
        <v>3</v>
      </c>
      <c r="F983">
        <v>30</v>
      </c>
      <c r="G983">
        <v>90</v>
      </c>
      <c r="H983" s="2">
        <f t="shared" si="15"/>
        <v>45291</v>
      </c>
    </row>
    <row r="984" spans="1:8">
      <c r="A984" s="1">
        <v>45231</v>
      </c>
      <c r="B984" t="s">
        <v>9</v>
      </c>
      <c r="C984">
        <v>29</v>
      </c>
      <c r="D984" t="s">
        <v>10</v>
      </c>
      <c r="E984">
        <v>1</v>
      </c>
      <c r="F984">
        <v>300</v>
      </c>
      <c r="G984">
        <v>300</v>
      </c>
      <c r="H984" s="2">
        <f t="shared" si="15"/>
        <v>45260</v>
      </c>
    </row>
    <row r="985" spans="1:8">
      <c r="A985" s="1">
        <v>45167</v>
      </c>
      <c r="B985" t="s">
        <v>7</v>
      </c>
      <c r="C985">
        <v>56</v>
      </c>
      <c r="D985" t="s">
        <v>10</v>
      </c>
      <c r="E985">
        <v>1</v>
      </c>
      <c r="F985">
        <v>500</v>
      </c>
      <c r="G985">
        <v>500</v>
      </c>
      <c r="H985" s="2">
        <f t="shared" si="15"/>
        <v>45169</v>
      </c>
    </row>
    <row r="986" spans="1:8">
      <c r="A986" s="1">
        <v>45076</v>
      </c>
      <c r="B986" t="s">
        <v>9</v>
      </c>
      <c r="C986">
        <v>19</v>
      </c>
      <c r="D986" t="s">
        <v>11</v>
      </c>
      <c r="E986">
        <v>2</v>
      </c>
      <c r="F986">
        <v>25</v>
      </c>
      <c r="G986">
        <v>50</v>
      </c>
      <c r="H986" s="2">
        <f t="shared" si="15"/>
        <v>45077</v>
      </c>
    </row>
    <row r="987" spans="1:8">
      <c r="A987" s="1">
        <v>44943</v>
      </c>
      <c r="B987" t="s">
        <v>9</v>
      </c>
      <c r="C987">
        <v>49</v>
      </c>
      <c r="D987" t="s">
        <v>10</v>
      </c>
      <c r="E987">
        <v>2</v>
      </c>
      <c r="F987">
        <v>500</v>
      </c>
      <c r="G987">
        <v>1000</v>
      </c>
      <c r="H987" s="2">
        <f t="shared" si="15"/>
        <v>44957</v>
      </c>
    </row>
    <row r="988" spans="1:8">
      <c r="A988" s="1">
        <v>45045</v>
      </c>
      <c r="B988" t="s">
        <v>9</v>
      </c>
      <c r="C988">
        <v>30</v>
      </c>
      <c r="D988" t="s">
        <v>10</v>
      </c>
      <c r="E988">
        <v>3</v>
      </c>
      <c r="F988">
        <v>300</v>
      </c>
      <c r="G988">
        <v>900</v>
      </c>
      <c r="H988" s="2">
        <f t="shared" si="15"/>
        <v>45046</v>
      </c>
    </row>
    <row r="989" spans="1:8">
      <c r="A989" s="1">
        <v>45074</v>
      </c>
      <c r="B989" t="s">
        <v>9</v>
      </c>
      <c r="C989">
        <v>63</v>
      </c>
      <c r="D989" t="s">
        <v>10</v>
      </c>
      <c r="E989">
        <v>3</v>
      </c>
      <c r="F989">
        <v>25</v>
      </c>
      <c r="G989">
        <v>75</v>
      </c>
      <c r="H989" s="2">
        <f t="shared" si="15"/>
        <v>45077</v>
      </c>
    </row>
    <row r="990" spans="1:8">
      <c r="A990" s="1">
        <v>45288</v>
      </c>
      <c r="B990" t="s">
        <v>9</v>
      </c>
      <c r="C990">
        <v>44</v>
      </c>
      <c r="D990" t="s">
        <v>11</v>
      </c>
      <c r="E990">
        <v>1</v>
      </c>
      <c r="F990">
        <v>25</v>
      </c>
      <c r="G990">
        <v>25</v>
      </c>
      <c r="H990" s="2">
        <f t="shared" si="15"/>
        <v>45291</v>
      </c>
    </row>
    <row r="991" spans="1:8">
      <c r="A991" s="1">
        <v>45071</v>
      </c>
      <c r="B991" t="s">
        <v>9</v>
      </c>
      <c r="C991">
        <v>58</v>
      </c>
      <c r="D991" t="s">
        <v>8</v>
      </c>
      <c r="E991">
        <v>2</v>
      </c>
      <c r="F991">
        <v>500</v>
      </c>
      <c r="G991">
        <v>1000</v>
      </c>
      <c r="H991" s="2">
        <f t="shared" si="15"/>
        <v>45077</v>
      </c>
    </row>
    <row r="992" spans="1:8">
      <c r="A992" s="1">
        <v>45286</v>
      </c>
      <c r="B992" t="s">
        <v>9</v>
      </c>
      <c r="C992">
        <v>34</v>
      </c>
      <c r="D992" t="s">
        <v>10</v>
      </c>
      <c r="E992">
        <v>2</v>
      </c>
      <c r="F992">
        <v>50</v>
      </c>
      <c r="G992">
        <v>100</v>
      </c>
      <c r="H992" s="2">
        <f t="shared" si="15"/>
        <v>45291</v>
      </c>
    </row>
    <row r="993" spans="1:8">
      <c r="A993" s="1">
        <v>45159</v>
      </c>
      <c r="B993" t="s">
        <v>9</v>
      </c>
      <c r="C993">
        <v>57</v>
      </c>
      <c r="D993" t="s">
        <v>11</v>
      </c>
      <c r="E993">
        <v>2</v>
      </c>
      <c r="F993">
        <v>30</v>
      </c>
      <c r="G993">
        <v>60</v>
      </c>
      <c r="H993" s="2">
        <f t="shared" si="15"/>
        <v>45169</v>
      </c>
    </row>
    <row r="994" spans="1:8">
      <c r="A994" s="1">
        <v>44963</v>
      </c>
      <c r="B994" t="s">
        <v>9</v>
      </c>
      <c r="C994">
        <v>48</v>
      </c>
      <c r="D994" t="s">
        <v>11</v>
      </c>
      <c r="E994">
        <v>3</v>
      </c>
      <c r="F994">
        <v>50</v>
      </c>
      <c r="G994">
        <v>150</v>
      </c>
      <c r="H994" s="2">
        <f t="shared" si="15"/>
        <v>44985</v>
      </c>
    </row>
    <row r="995" spans="1:8">
      <c r="A995" s="1">
        <v>45278</v>
      </c>
      <c r="B995" t="s">
        <v>9</v>
      </c>
      <c r="C995">
        <v>51</v>
      </c>
      <c r="D995" t="s">
        <v>8</v>
      </c>
      <c r="E995">
        <v>2</v>
      </c>
      <c r="F995">
        <v>500</v>
      </c>
      <c r="G995">
        <v>1000</v>
      </c>
      <c r="H995" s="2">
        <f t="shared" si="15"/>
        <v>45291</v>
      </c>
    </row>
    <row r="996" spans="1:8">
      <c r="A996" s="1">
        <v>45046</v>
      </c>
      <c r="B996" t="s">
        <v>9</v>
      </c>
      <c r="C996">
        <v>41</v>
      </c>
      <c r="D996" t="s">
        <v>10</v>
      </c>
      <c r="E996">
        <v>1</v>
      </c>
      <c r="F996">
        <v>30</v>
      </c>
      <c r="G996">
        <v>30</v>
      </c>
      <c r="H996" s="2">
        <f t="shared" si="15"/>
        <v>45046</v>
      </c>
    </row>
    <row r="997" spans="1:8">
      <c r="A997" s="1">
        <v>45062</v>
      </c>
      <c r="B997" t="s">
        <v>7</v>
      </c>
      <c r="C997">
        <v>62</v>
      </c>
      <c r="D997" t="s">
        <v>10</v>
      </c>
      <c r="E997">
        <v>1</v>
      </c>
      <c r="F997">
        <v>50</v>
      </c>
      <c r="G997">
        <v>50</v>
      </c>
      <c r="H997" s="2">
        <f t="shared" si="15"/>
        <v>45077</v>
      </c>
    </row>
    <row r="998" spans="1:8">
      <c r="A998" s="1">
        <v>45247</v>
      </c>
      <c r="B998" t="s">
        <v>7</v>
      </c>
      <c r="C998">
        <v>52</v>
      </c>
      <c r="D998" t="s">
        <v>8</v>
      </c>
      <c r="E998">
        <v>3</v>
      </c>
      <c r="F998">
        <v>30</v>
      </c>
      <c r="G998">
        <v>90</v>
      </c>
      <c r="H998" s="2">
        <f t="shared" si="15"/>
        <v>45260</v>
      </c>
    </row>
    <row r="999" spans="1:8">
      <c r="A999" s="1">
        <v>45228</v>
      </c>
      <c r="B999" t="s">
        <v>9</v>
      </c>
      <c r="C999">
        <v>23</v>
      </c>
      <c r="D999" t="s">
        <v>8</v>
      </c>
      <c r="E999">
        <v>4</v>
      </c>
      <c r="F999">
        <v>25</v>
      </c>
      <c r="G999">
        <v>100</v>
      </c>
      <c r="H999" s="2">
        <f t="shared" si="15"/>
        <v>45230</v>
      </c>
    </row>
    <row r="1000" spans="1:8">
      <c r="A1000" s="1">
        <v>45265</v>
      </c>
      <c r="B1000" t="s">
        <v>9</v>
      </c>
      <c r="C1000">
        <v>36</v>
      </c>
      <c r="D1000" t="s">
        <v>11</v>
      </c>
      <c r="E1000">
        <v>3</v>
      </c>
      <c r="F1000">
        <v>50</v>
      </c>
      <c r="G1000">
        <v>150</v>
      </c>
      <c r="H1000" s="2">
        <f t="shared" si="15"/>
        <v>45291</v>
      </c>
    </row>
    <row r="1001" spans="1:8">
      <c r="A1001" s="1">
        <v>45028</v>
      </c>
      <c r="B1001" t="s">
        <v>7</v>
      </c>
      <c r="C1001">
        <v>47</v>
      </c>
      <c r="D1001" t="s">
        <v>11</v>
      </c>
      <c r="E1001">
        <v>4</v>
      </c>
      <c r="F1001">
        <v>30</v>
      </c>
      <c r="G1001">
        <v>120</v>
      </c>
      <c r="H1001" s="2">
        <f t="shared" si="15"/>
        <v>45046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FC4F-993C-C044-A770-E3B58115496E}">
  <dimension ref="A3:B16"/>
  <sheetViews>
    <sheetView workbookViewId="0">
      <selection activeCell="A3" sqref="A3:B15"/>
    </sheetView>
  </sheetViews>
  <sheetFormatPr baseColWidth="10" defaultRowHeight="16"/>
  <cols>
    <col min="1" max="1" width="13" bestFit="1" customWidth="1"/>
    <col min="2" max="2" width="18.1640625" bestFit="1" customWidth="1"/>
  </cols>
  <sheetData>
    <row r="3" spans="1:2">
      <c r="A3" s="3" t="s">
        <v>13</v>
      </c>
      <c r="B3" t="s">
        <v>15</v>
      </c>
    </row>
    <row r="4" spans="1:2">
      <c r="A4" s="4">
        <v>44957</v>
      </c>
      <c r="B4" s="5">
        <v>35450</v>
      </c>
    </row>
    <row r="5" spans="1:2">
      <c r="A5" s="4">
        <v>44985</v>
      </c>
      <c r="B5" s="5">
        <v>44060</v>
      </c>
    </row>
    <row r="6" spans="1:2">
      <c r="A6" s="4">
        <v>45016</v>
      </c>
      <c r="B6" s="5">
        <v>28990</v>
      </c>
    </row>
    <row r="7" spans="1:2">
      <c r="A7" s="4">
        <v>45046</v>
      </c>
      <c r="B7" s="5">
        <v>33870</v>
      </c>
    </row>
    <row r="8" spans="1:2">
      <c r="A8" s="4">
        <v>45077</v>
      </c>
      <c r="B8" s="5">
        <v>53150</v>
      </c>
    </row>
    <row r="9" spans="1:2">
      <c r="A9" s="4">
        <v>45107</v>
      </c>
      <c r="B9" s="5">
        <v>36715</v>
      </c>
    </row>
    <row r="10" spans="1:2">
      <c r="A10" s="4">
        <v>45138</v>
      </c>
      <c r="B10" s="5">
        <v>35465</v>
      </c>
    </row>
    <row r="11" spans="1:2">
      <c r="A11" s="4">
        <v>45169</v>
      </c>
      <c r="B11" s="5">
        <v>36960</v>
      </c>
    </row>
    <row r="12" spans="1:2">
      <c r="A12" s="4">
        <v>45199</v>
      </c>
      <c r="B12" s="5">
        <v>23620</v>
      </c>
    </row>
    <row r="13" spans="1:2">
      <c r="A13" s="4">
        <v>45230</v>
      </c>
      <c r="B13" s="5">
        <v>46580</v>
      </c>
    </row>
    <row r="14" spans="1:2">
      <c r="A14" s="4">
        <v>45260</v>
      </c>
      <c r="B14" s="5">
        <v>34920</v>
      </c>
    </row>
    <row r="15" spans="1:2">
      <c r="A15" s="4">
        <v>45291</v>
      </c>
      <c r="B15" s="5">
        <v>44690</v>
      </c>
    </row>
    <row r="16" spans="1:2">
      <c r="A16" s="4" t="s">
        <v>14</v>
      </c>
      <c r="B16" s="5">
        <v>454470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05B0-247B-1F40-B827-9861627C4E6B}">
  <dimension ref="A1:O16"/>
  <sheetViews>
    <sheetView zoomScaleNormal="100" workbookViewId="0">
      <selection activeCell="E18" sqref="E18"/>
    </sheetView>
  </sheetViews>
  <sheetFormatPr baseColWidth="10" defaultRowHeight="16"/>
  <cols>
    <col min="1" max="1" width="10.83203125" style="2"/>
    <col min="2" max="2" width="17.5" bestFit="1" customWidth="1"/>
    <col min="3" max="3" width="13.5" bestFit="1" customWidth="1"/>
    <col min="4" max="6" width="13.5" customWidth="1"/>
    <col min="7" max="7" width="18" bestFit="1" customWidth="1"/>
    <col min="8" max="11" width="18" customWidth="1"/>
    <col min="14" max="14" width="18.6640625" bestFit="1" customWidth="1"/>
    <col min="15" max="15" width="18" bestFit="1" customWidth="1"/>
  </cols>
  <sheetData>
    <row r="1" spans="1:15">
      <c r="A1" s="2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49</v>
      </c>
      <c r="H1" t="s">
        <v>50</v>
      </c>
      <c r="I1" t="s">
        <v>51</v>
      </c>
      <c r="J1" t="s">
        <v>52</v>
      </c>
      <c r="K1" t="s">
        <v>54</v>
      </c>
    </row>
    <row r="2" spans="1:15">
      <c r="A2" s="2">
        <v>44957</v>
      </c>
      <c r="B2">
        <v>35450</v>
      </c>
      <c r="C2">
        <f>B2 * 0.7</f>
        <v>24815</v>
      </c>
      <c r="D2">
        <f>B2 - C2</f>
        <v>10635</v>
      </c>
      <c r="E2">
        <f>B3 - B2</f>
        <v>8610</v>
      </c>
    </row>
    <row r="3" spans="1:15">
      <c r="A3" s="2">
        <v>44985</v>
      </c>
      <c r="B3">
        <v>44060</v>
      </c>
      <c r="C3">
        <f t="shared" ref="C3:C13" si="0">B3 * 0.7</f>
        <v>30841.999999999996</v>
      </c>
      <c r="D3">
        <f t="shared" ref="D3:D13" si="1">B3 - C3</f>
        <v>13218.000000000004</v>
      </c>
      <c r="E3">
        <f t="shared" ref="E3:E13" si="2">B4 - B3</f>
        <v>-15070</v>
      </c>
      <c r="N3" s="10" t="s">
        <v>46</v>
      </c>
    </row>
    <row r="4" spans="1:15">
      <c r="A4" s="2">
        <v>45016</v>
      </c>
      <c r="B4">
        <v>28990</v>
      </c>
      <c r="C4">
        <f t="shared" si="0"/>
        <v>20293</v>
      </c>
      <c r="D4">
        <f t="shared" si="1"/>
        <v>8697</v>
      </c>
      <c r="E4">
        <f t="shared" si="2"/>
        <v>4880</v>
      </c>
      <c r="F4">
        <f>E3</f>
        <v>-15070</v>
      </c>
      <c r="G4">
        <f>$O$4 + $O$5 * F4</f>
        <v>8826.6381032478857</v>
      </c>
      <c r="H4">
        <f>B3 + G4</f>
        <v>52886.638103247882</v>
      </c>
      <c r="I4">
        <f>B4 - H4</f>
        <v>-23896.638103247882</v>
      </c>
      <c r="J4">
        <f>ABS(I4 / B4)</f>
        <v>0.82430624709375244</v>
      </c>
      <c r="K4">
        <f>I4^2</f>
        <v>571049312.63759851</v>
      </c>
      <c r="N4" s="11" t="s">
        <v>47</v>
      </c>
      <c r="O4" s="6">
        <v>-2850.1851450139025</v>
      </c>
    </row>
    <row r="5" spans="1:15">
      <c r="A5" s="2">
        <v>45046</v>
      </c>
      <c r="B5">
        <v>33870</v>
      </c>
      <c r="C5">
        <f t="shared" si="0"/>
        <v>23709</v>
      </c>
      <c r="D5">
        <f t="shared" si="1"/>
        <v>10161</v>
      </c>
      <c r="E5">
        <f t="shared" si="2"/>
        <v>19280</v>
      </c>
      <c r="F5">
        <f t="shared" ref="F5:F13" si="3">E4</f>
        <v>4880</v>
      </c>
      <c r="G5">
        <f>$O$4 + $O$5 * F5</f>
        <v>-6631.3993090163922</v>
      </c>
      <c r="H5">
        <f>B4 + G5</f>
        <v>22358.600690983607</v>
      </c>
      <c r="I5">
        <f t="shared" ref="I5:I13" si="4">B5 - H5</f>
        <v>11511.399309016393</v>
      </c>
      <c r="J5">
        <f t="shared" ref="J5:J13" si="5">ABS(I5 / B5)</f>
        <v>0.33987007112537326</v>
      </c>
      <c r="K5">
        <f t="shared" ref="K5:K13" si="6">I5^2</f>
        <v>132512314.05162309</v>
      </c>
      <c r="N5" s="11" t="s">
        <v>48</v>
      </c>
      <c r="O5" s="6">
        <v>-0.7748389680332971</v>
      </c>
    </row>
    <row r="6" spans="1:15">
      <c r="A6" s="2">
        <v>45077</v>
      </c>
      <c r="B6">
        <v>53150</v>
      </c>
      <c r="C6">
        <f t="shared" si="0"/>
        <v>37205</v>
      </c>
      <c r="D6">
        <f t="shared" si="1"/>
        <v>15945</v>
      </c>
      <c r="E6">
        <f t="shared" si="2"/>
        <v>-16435</v>
      </c>
      <c r="F6">
        <f>E5</f>
        <v>19280</v>
      </c>
      <c r="G6">
        <f>$O$4 + $O$5 * F6</f>
        <v>-17789.08044869587</v>
      </c>
      <c r="H6">
        <f>B5 + G6</f>
        <v>16080.91955130413</v>
      </c>
      <c r="I6">
        <f t="shared" si="4"/>
        <v>37069.080448695866</v>
      </c>
      <c r="J6">
        <f t="shared" si="5"/>
        <v>0.6974427177553314</v>
      </c>
      <c r="K6">
        <f t="shared" si="6"/>
        <v>1374116725.3118861</v>
      </c>
    </row>
    <row r="7" spans="1:15">
      <c r="A7" s="2">
        <v>45107</v>
      </c>
      <c r="B7">
        <v>36715</v>
      </c>
      <c r="C7">
        <f t="shared" si="0"/>
        <v>25700.5</v>
      </c>
      <c r="D7">
        <f t="shared" si="1"/>
        <v>11014.5</v>
      </c>
      <c r="E7">
        <f>B8 - B7</f>
        <v>-1250</v>
      </c>
      <c r="F7">
        <f>E6</f>
        <v>-16435</v>
      </c>
      <c r="G7">
        <f>$O$4 + $O$5 * F7</f>
        <v>9884.2932946133351</v>
      </c>
      <c r="H7">
        <f t="shared" ref="H7:H12" si="7">B6 + G7</f>
        <v>63034.293294613337</v>
      </c>
      <c r="I7">
        <f t="shared" si="4"/>
        <v>-26319.293294613337</v>
      </c>
      <c r="J7">
        <f t="shared" si="5"/>
        <v>0.7168539641730447</v>
      </c>
      <c r="K7">
        <f t="shared" si="6"/>
        <v>692705199.52787852</v>
      </c>
    </row>
    <row r="8" spans="1:15">
      <c r="A8" s="2">
        <v>45138</v>
      </c>
      <c r="B8">
        <v>35465</v>
      </c>
      <c r="C8">
        <f t="shared" si="0"/>
        <v>24825.5</v>
      </c>
      <c r="D8">
        <f t="shared" si="1"/>
        <v>10639.5</v>
      </c>
      <c r="E8">
        <f t="shared" si="2"/>
        <v>1495</v>
      </c>
      <c r="F8">
        <f>E7</f>
        <v>-1250</v>
      </c>
      <c r="G8">
        <f>$O$4 + $O$5 * F8</f>
        <v>-1881.6364349722812</v>
      </c>
      <c r="H8">
        <f t="shared" si="7"/>
        <v>34833.363565027721</v>
      </c>
      <c r="I8">
        <f t="shared" si="4"/>
        <v>631.63643497227895</v>
      </c>
      <c r="J8">
        <f t="shared" si="5"/>
        <v>1.7810134920972196E-2</v>
      </c>
      <c r="K8">
        <f t="shared" si="6"/>
        <v>398964.58598449</v>
      </c>
    </row>
    <row r="9" spans="1:15">
      <c r="A9" s="2">
        <v>45169</v>
      </c>
      <c r="B9">
        <v>36960</v>
      </c>
      <c r="C9">
        <f t="shared" si="0"/>
        <v>25872</v>
      </c>
      <c r="D9">
        <f t="shared" si="1"/>
        <v>11088</v>
      </c>
      <c r="E9">
        <f t="shared" si="2"/>
        <v>-13340</v>
      </c>
      <c r="F9">
        <f>E8</f>
        <v>1495</v>
      </c>
      <c r="G9">
        <f>$O$4 + $O$5 * F9</f>
        <v>-4008.5694022236817</v>
      </c>
      <c r="H9">
        <f t="shared" si="7"/>
        <v>31456.430597776318</v>
      </c>
      <c r="I9">
        <f t="shared" si="4"/>
        <v>5503.5694022236821</v>
      </c>
      <c r="J9">
        <f t="shared" si="5"/>
        <v>0.14890609854501305</v>
      </c>
      <c r="K9">
        <f t="shared" si="6"/>
        <v>30289276.165092736</v>
      </c>
    </row>
    <row r="10" spans="1:15">
      <c r="A10" s="2">
        <v>45199</v>
      </c>
      <c r="B10">
        <v>23620</v>
      </c>
      <c r="C10">
        <f t="shared" si="0"/>
        <v>16534</v>
      </c>
      <c r="D10">
        <f t="shared" si="1"/>
        <v>7086</v>
      </c>
      <c r="E10">
        <f t="shared" si="2"/>
        <v>22960</v>
      </c>
      <c r="F10">
        <f t="shared" si="3"/>
        <v>-13340</v>
      </c>
      <c r="G10">
        <f>$O$4 + $O$5 * F10</f>
        <v>7486.1666885502818</v>
      </c>
      <c r="H10">
        <f t="shared" si="7"/>
        <v>44446.166688550278</v>
      </c>
      <c r="I10">
        <f t="shared" si="4"/>
        <v>-20826.166688550278</v>
      </c>
      <c r="J10">
        <f t="shared" si="5"/>
        <v>0.88171747199620143</v>
      </c>
      <c r="K10">
        <f t="shared" si="6"/>
        <v>433729218.93928128</v>
      </c>
    </row>
    <row r="11" spans="1:15">
      <c r="A11" s="2">
        <v>45230</v>
      </c>
      <c r="B11">
        <v>46580</v>
      </c>
      <c r="C11">
        <f t="shared" si="0"/>
        <v>32605.999999999996</v>
      </c>
      <c r="D11">
        <f t="shared" si="1"/>
        <v>13974.000000000004</v>
      </c>
      <c r="E11">
        <f t="shared" si="2"/>
        <v>-11660</v>
      </c>
      <c r="F11">
        <f t="shared" si="3"/>
        <v>22960</v>
      </c>
      <c r="G11">
        <f>$O$4 + $O$5 * F11</f>
        <v>-20640.487851058406</v>
      </c>
      <c r="H11">
        <f t="shared" si="7"/>
        <v>2979.5121489415942</v>
      </c>
      <c r="I11">
        <f t="shared" si="4"/>
        <v>43600.487851058409</v>
      </c>
      <c r="J11">
        <f t="shared" si="5"/>
        <v>0.93603451805621318</v>
      </c>
      <c r="K11">
        <f t="shared" si="6"/>
        <v>1901002540.850292</v>
      </c>
    </row>
    <row r="12" spans="1:15">
      <c r="A12" s="2">
        <v>45260</v>
      </c>
      <c r="B12">
        <v>34920</v>
      </c>
      <c r="C12">
        <f t="shared" si="0"/>
        <v>24444</v>
      </c>
      <c r="D12">
        <f t="shared" si="1"/>
        <v>10476</v>
      </c>
      <c r="E12">
        <f t="shared" si="2"/>
        <v>9770</v>
      </c>
      <c r="F12">
        <f t="shared" si="3"/>
        <v>-11660</v>
      </c>
      <c r="G12">
        <f>$O$4 + $O$5 * F12</f>
        <v>6184.4372222543425</v>
      </c>
      <c r="H12">
        <f t="shared" si="7"/>
        <v>52764.437222254346</v>
      </c>
      <c r="I12">
        <f t="shared" si="4"/>
        <v>-17844.437222254346</v>
      </c>
      <c r="J12">
        <f t="shared" si="5"/>
        <v>0.51100908425699731</v>
      </c>
      <c r="K12">
        <f t="shared" si="6"/>
        <v>318423939.77897638</v>
      </c>
    </row>
    <row r="13" spans="1:15">
      <c r="A13" s="2">
        <v>45291</v>
      </c>
      <c r="B13">
        <v>44690</v>
      </c>
      <c r="C13">
        <f t="shared" si="0"/>
        <v>31282.999999999996</v>
      </c>
      <c r="D13">
        <f t="shared" si="1"/>
        <v>13407.000000000004</v>
      </c>
      <c r="E13">
        <f t="shared" si="2"/>
        <v>-44690</v>
      </c>
      <c r="F13">
        <f t="shared" si="3"/>
        <v>9770</v>
      </c>
      <c r="G13">
        <f>$O$4 + $O$5 * F13</f>
        <v>-10420.361862699216</v>
      </c>
      <c r="H13">
        <f>B12 + G13</f>
        <v>24499.638137300783</v>
      </c>
      <c r="I13">
        <f t="shared" si="4"/>
        <v>20190.361862699217</v>
      </c>
      <c r="J13">
        <f t="shared" si="5"/>
        <v>0.45178701863278625</v>
      </c>
      <c r="K13">
        <f t="shared" si="6"/>
        <v>407650712.14673901</v>
      </c>
    </row>
    <row r="15" spans="1:15">
      <c r="I15" s="12" t="s">
        <v>53</v>
      </c>
      <c r="J15" s="13">
        <f>AVERAGE(J4:J14)</f>
        <v>0.55257373265556853</v>
      </c>
      <c r="K15" s="13"/>
    </row>
    <row r="16" spans="1:15">
      <c r="I16" s="12" t="s">
        <v>55</v>
      </c>
      <c r="J16">
        <f>SQRT(AVERAGE(K4:K14))</f>
        <v>24211.315957616498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A66C-C136-5C47-BF30-9BC2A2F13ACB}">
  <dimension ref="A1:I18"/>
  <sheetViews>
    <sheetView workbookViewId="0">
      <selection activeCell="B18" sqref="B18"/>
    </sheetView>
  </sheetViews>
  <sheetFormatPr baseColWidth="10" defaultRowHeight="16"/>
  <cols>
    <col min="1" max="1" width="16.33203125" bestFit="1" customWidth="1"/>
    <col min="2" max="2" width="12.83203125" bestFit="1" customWidth="1"/>
    <col min="3" max="3" width="13.33203125" bestFit="1" customWidth="1"/>
    <col min="4" max="4" width="12.83203125" bestFit="1" customWidth="1"/>
    <col min="5" max="5" width="12.1640625" bestFit="1" customWidth="1"/>
    <col min="6" max="6" width="13" bestFit="1" customWidth="1"/>
    <col min="7" max="7" width="12.1640625" bestFit="1" customWidth="1"/>
    <col min="8" max="8" width="12.83203125" bestFit="1" customWidth="1"/>
    <col min="9" max="9" width="12.1640625" bestFit="1" customWidth="1"/>
  </cols>
  <sheetData>
    <row r="1" spans="1:9">
      <c r="A1" t="s">
        <v>21</v>
      </c>
    </row>
    <row r="2" spans="1:9" ht="17" thickBot="1"/>
    <row r="3" spans="1:9">
      <c r="A3" s="9" t="s">
        <v>22</v>
      </c>
      <c r="B3" s="9"/>
    </row>
    <row r="4" spans="1:9">
      <c r="A4" s="6" t="s">
        <v>23</v>
      </c>
      <c r="B4" s="6">
        <v>0.5592156250492869</v>
      </c>
    </row>
    <row r="5" spans="1:9">
      <c r="A5" s="6" t="s">
        <v>24</v>
      </c>
      <c r="B5" s="6">
        <v>0.31272211529926469</v>
      </c>
    </row>
    <row r="6" spans="1:9">
      <c r="A6" s="6" t="s">
        <v>25</v>
      </c>
      <c r="B6" s="6">
        <v>0.22681237971167278</v>
      </c>
    </row>
    <row r="7" spans="1:9">
      <c r="A7" s="6" t="s">
        <v>26</v>
      </c>
      <c r="B7" s="6">
        <v>17387.541861936119</v>
      </c>
    </row>
    <row r="8" spans="1:9" ht="17" thickBot="1">
      <c r="A8" s="7" t="s">
        <v>27</v>
      </c>
      <c r="B8" s="7">
        <v>10</v>
      </c>
    </row>
    <row r="10" spans="1:9" ht="17" thickBot="1">
      <c r="A10" t="s">
        <v>28</v>
      </c>
    </row>
    <row r="11" spans="1:9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>
      <c r="A12" s="6" t="s">
        <v>29</v>
      </c>
      <c r="B12" s="6">
        <v>1</v>
      </c>
      <c r="C12" s="6">
        <v>1100506443.9953523</v>
      </c>
      <c r="D12" s="6">
        <v>1100506443.9953523</v>
      </c>
      <c r="E12" s="6">
        <v>3.6401242904585502</v>
      </c>
      <c r="F12" s="6">
        <v>9.2829577273420033E-2</v>
      </c>
    </row>
    <row r="13" spans="1:9">
      <c r="A13" s="6" t="s">
        <v>30</v>
      </c>
      <c r="B13" s="6">
        <v>8</v>
      </c>
      <c r="C13" s="6">
        <v>2418612896.0046477</v>
      </c>
      <c r="D13" s="6">
        <v>302326612.00058097</v>
      </c>
      <c r="E13" s="6"/>
      <c r="F13" s="6"/>
    </row>
    <row r="14" spans="1:9" ht="17" thickBot="1">
      <c r="A14" s="7" t="s">
        <v>31</v>
      </c>
      <c r="B14" s="7">
        <v>9</v>
      </c>
      <c r="C14" s="7">
        <v>3519119340</v>
      </c>
      <c r="D14" s="7"/>
      <c r="E14" s="7"/>
      <c r="F14" s="7"/>
    </row>
    <row r="15" spans="1:9" ht="17" thickBot="1"/>
    <row r="16" spans="1:9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>
      <c r="A17" s="6" t="s">
        <v>32</v>
      </c>
      <c r="B17" s="6">
        <v>-2850.1851450139025</v>
      </c>
      <c r="C17" s="6">
        <v>5498.4830469715989</v>
      </c>
      <c r="D17" s="6">
        <v>-0.51835844916966689</v>
      </c>
      <c r="E17" s="6">
        <v>0.61823611537110945</v>
      </c>
      <c r="F17" s="6">
        <v>-15529.709788680419</v>
      </c>
      <c r="G17" s="6">
        <v>9829.3394986526127</v>
      </c>
      <c r="H17" s="6">
        <v>-15529.709788680419</v>
      </c>
      <c r="I17" s="6">
        <v>9829.3394986526127</v>
      </c>
    </row>
    <row r="18" spans="1:9" ht="17" thickBot="1">
      <c r="A18" s="7" t="s">
        <v>45</v>
      </c>
      <c r="B18" s="7">
        <v>-0.7748389680332971</v>
      </c>
      <c r="C18" s="7">
        <v>0.40611903698890189</v>
      </c>
      <c r="D18" s="7">
        <v>-1.9079109755066008</v>
      </c>
      <c r="E18" s="7">
        <v>9.2829577273420102E-2</v>
      </c>
      <c r="F18" s="7">
        <v>-1.711351146714839</v>
      </c>
      <c r="G18" s="7">
        <v>0.16167321064824478</v>
      </c>
      <c r="H18" s="7">
        <v>-1.711351146714839</v>
      </c>
      <c r="I18" s="7">
        <v>0.16167321064824478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A81B-99DA-7A42-9DEE-79F1275C2A55}">
  <dimension ref="A2:M27"/>
  <sheetViews>
    <sheetView tabSelected="1" workbookViewId="0">
      <selection activeCell="B33" sqref="B33"/>
    </sheetView>
  </sheetViews>
  <sheetFormatPr baseColWidth="10" defaultRowHeight="16"/>
  <cols>
    <col min="1" max="1" width="25.33203125" bestFit="1" customWidth="1"/>
    <col min="2" max="2" width="18.1640625" bestFit="1" customWidth="1"/>
    <col min="4" max="4" width="20.83203125" bestFit="1" customWidth="1"/>
  </cols>
  <sheetData>
    <row r="2" spans="1:4" ht="20" thickBot="1">
      <c r="A2" s="17" t="s">
        <v>56</v>
      </c>
    </row>
    <row r="4" spans="1:4">
      <c r="A4" s="10" t="s">
        <v>57</v>
      </c>
      <c r="B4" s="18">
        <f>SUM(Financial_Data!H4:H14)</f>
        <v>345340</v>
      </c>
    </row>
    <row r="5" spans="1:4">
      <c r="A5" s="10" t="s">
        <v>58</v>
      </c>
      <c r="B5" s="18">
        <f>SUM(Financial_Data!C4:C14)</f>
        <v>262472</v>
      </c>
    </row>
    <row r="6" spans="1:4">
      <c r="A6" s="10" t="s">
        <v>59</v>
      </c>
      <c r="B6" s="18">
        <f>B4 - B5</f>
        <v>82868</v>
      </c>
    </row>
    <row r="8" spans="1:4" ht="20" thickBot="1">
      <c r="A8" s="17" t="s">
        <v>60</v>
      </c>
      <c r="B8" s="17" t="s">
        <v>61</v>
      </c>
    </row>
    <row r="9" spans="1:4" ht="17" thickBot="1">
      <c r="B9" s="16">
        <f>(B4*(1+$D$10)) - B5</f>
        <v>99999.999999999884</v>
      </c>
      <c r="D9" s="19" t="s">
        <v>62</v>
      </c>
    </row>
    <row r="10" spans="1:4">
      <c r="A10" s="15">
        <v>-0.2</v>
      </c>
      <c r="B10">
        <f t="dataTable" ref="B10:B14" dt2D="0" dtr="0" r1="D10"/>
        <v>13800</v>
      </c>
      <c r="D10" s="14">
        <v>4.9609080905773685E-2</v>
      </c>
    </row>
    <row r="11" spans="1:4">
      <c r="A11" s="15">
        <v>-0.1</v>
      </c>
      <c r="B11">
        <v>48334</v>
      </c>
    </row>
    <row r="12" spans="1:4">
      <c r="A12" s="15">
        <v>0</v>
      </c>
      <c r="B12">
        <v>82868</v>
      </c>
    </row>
    <row r="13" spans="1:4">
      <c r="A13" s="15">
        <v>0.1</v>
      </c>
      <c r="B13">
        <v>117402.00000000006</v>
      </c>
    </row>
    <row r="14" spans="1:4">
      <c r="A14" s="15">
        <v>0.2</v>
      </c>
      <c r="B14">
        <v>151936</v>
      </c>
    </row>
    <row r="17" spans="1:13">
      <c r="A17" s="10" t="s">
        <v>63</v>
      </c>
      <c r="B17">
        <v>100000</v>
      </c>
    </row>
    <row r="18" spans="1:13">
      <c r="A18" s="10" t="s">
        <v>64</v>
      </c>
      <c r="B18">
        <f>(B4*(1+$D$10)) - B5</f>
        <v>99999.999999999884</v>
      </c>
    </row>
    <row r="20" spans="1:13" ht="20" thickBot="1">
      <c r="A20" s="17" t="s">
        <v>65</v>
      </c>
    </row>
    <row r="21" spans="1:13">
      <c r="A21" s="10" t="s">
        <v>66</v>
      </c>
      <c r="B21" s="14">
        <f>D10</f>
        <v>4.9609080905773685E-2</v>
      </c>
    </row>
    <row r="22" spans="1:13">
      <c r="A22" s="10" t="s">
        <v>67</v>
      </c>
      <c r="B22">
        <f>B18</f>
        <v>99999.999999999884</v>
      </c>
    </row>
    <row r="26" spans="1:13" ht="28" thickBot="1">
      <c r="A26" s="21" t="s">
        <v>68</v>
      </c>
      <c r="B26" s="20" t="s">
        <v>69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ht="18">
      <c r="B27" s="22" t="s">
        <v>70</v>
      </c>
    </row>
  </sheetData>
  <conditionalFormatting sqref="B10:B14">
    <cfRule type="colorScale" priority="1">
      <colorScale>
        <cfvo type="min"/>
        <cfvo type="percentile" val="50"/>
        <cfvo type="max"/>
        <color rgb="FFFF7128"/>
        <color rgb="FFFFEB84"/>
        <color theme="9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Monthly_Pivot</vt:lpstr>
      <vt:lpstr>Financial_Data</vt:lpstr>
      <vt:lpstr>ARIMA_Model</vt:lpstr>
      <vt:lpstr>Scenario_Analysis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Shabd Pratap</dc:creator>
  <cp:lastModifiedBy>Shabd Pratap</cp:lastModifiedBy>
  <dcterms:created xsi:type="dcterms:W3CDTF">2025-12-30T17:55:18Z</dcterms:created>
  <dcterms:modified xsi:type="dcterms:W3CDTF">2025-12-30T21:52:47Z</dcterms:modified>
</cp:coreProperties>
</file>